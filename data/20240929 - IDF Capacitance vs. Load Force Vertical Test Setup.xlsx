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hadrauf_stanford_edu/Documents/Research/Medical Shape Display/"/>
    </mc:Choice>
  </mc:AlternateContent>
  <xr:revisionPtr revIDLastSave="689" documentId="8_{B07DD4E1-7555-4EAB-B9F3-DEB06772F634}" xr6:coauthVersionLast="47" xr6:coauthVersionMax="47" xr10:uidLastSave="{E9E2744B-27BF-40F9-A726-37FAE6F4A379}"/>
  <bookViews>
    <workbookView xWindow="-68" yWindow="-68" windowWidth="28936" windowHeight="15616" firstSheet="3" activeTab="6" xr2:uid="{563E9A27-E696-479C-8199-B51ACB68855C}"/>
  </bookViews>
  <sheets>
    <sheet name="w=2 (20240929_234547707)" sheetId="10" r:id="rId1"/>
    <sheet name="w=2 (20240929_233458613)" sheetId="5" r:id="rId2"/>
    <sheet name="w=2 (20240929_223240518)" sheetId="1" r:id="rId3"/>
    <sheet name="w=2.5 (20241002_054915278)" sheetId="9" r:id="rId4"/>
    <sheet name="w=2.5 (20241002_054114017)" sheetId="8" r:id="rId5"/>
    <sheet name="w=3 (20241002_053026357)" sheetId="7" r:id="rId6"/>
    <sheet name="w=3 (20241002_052600408)" sheetId="6" r:id="rId7"/>
    <sheet name="w=6.35 (20240930_002516806)" sheetId="2" r:id="rId8"/>
    <sheet name="w=6.35 (20240930_001910459)" sheetId="4" r:id="rId9"/>
    <sheet name="w=6.35 (20240930_002228313)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C3" i="6"/>
  <c r="C4" i="6"/>
  <c r="C5" i="6"/>
  <c r="C6" i="6"/>
  <c r="C7" i="6"/>
  <c r="C8" i="6"/>
  <c r="C9" i="6"/>
  <c r="C10" i="6"/>
  <c r="C11" i="6"/>
  <c r="C12" i="6"/>
  <c r="C13" i="6"/>
  <c r="C14" i="6"/>
  <c r="C2" i="6"/>
  <c r="C3" i="7"/>
  <c r="C4" i="7"/>
  <c r="C5" i="7"/>
  <c r="C6" i="7"/>
  <c r="C7" i="7"/>
  <c r="C8" i="7"/>
  <c r="C9" i="7"/>
  <c r="C10" i="7"/>
  <c r="D9" i="7" s="1"/>
  <c r="C11" i="7"/>
  <c r="C12" i="7"/>
  <c r="C13" i="7"/>
  <c r="C14" i="7"/>
  <c r="C15" i="7"/>
  <c r="C2" i="7"/>
  <c r="C3" i="8"/>
  <c r="C4" i="8"/>
  <c r="C5" i="8"/>
  <c r="C6" i="8"/>
  <c r="C7" i="8"/>
  <c r="C8" i="8"/>
  <c r="D9" i="8" s="1"/>
  <c r="C9" i="8"/>
  <c r="C10" i="8"/>
  <c r="C11" i="8"/>
  <c r="D12" i="8" s="1"/>
  <c r="C12" i="8"/>
  <c r="D13" i="8" s="1"/>
  <c r="C13" i="8"/>
  <c r="C14" i="8"/>
  <c r="C15" i="8"/>
  <c r="C16" i="8"/>
  <c r="C2" i="8"/>
  <c r="C3" i="9"/>
  <c r="C4" i="9"/>
  <c r="C5" i="9"/>
  <c r="C6" i="9"/>
  <c r="C7" i="9"/>
  <c r="C8" i="9"/>
  <c r="C9" i="9"/>
  <c r="C10" i="9"/>
  <c r="E17" i="9" s="1" a="1"/>
  <c r="E17" i="9" s="1"/>
  <c r="C11" i="9"/>
  <c r="D10" i="9" s="1"/>
  <c r="C12" i="9"/>
  <c r="C13" i="9"/>
  <c r="C14" i="9"/>
  <c r="C15" i="9"/>
  <c r="D16" i="9" s="1"/>
  <c r="C16" i="9"/>
  <c r="C17" i="9"/>
  <c r="C2" i="9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D12" i="6"/>
  <c r="D13" i="6"/>
  <c r="D3" i="6"/>
  <c r="D4" i="8"/>
  <c r="D8" i="8"/>
  <c r="D4" i="9"/>
  <c r="D5" i="9"/>
  <c r="D6" i="9"/>
  <c r="D7" i="9"/>
  <c r="D15" i="9"/>
  <c r="E17" i="10" a="1"/>
  <c r="E17" i="10" s="1"/>
  <c r="D4" i="7"/>
  <c r="D5" i="7"/>
  <c r="D6" i="7"/>
  <c r="D7" i="7"/>
  <c r="D8" i="7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2" i="2"/>
  <c r="C3" i="4"/>
  <c r="C4" i="4"/>
  <c r="D5" i="4" s="1"/>
  <c r="C5" i="4"/>
  <c r="D6" i="4" s="1"/>
  <c r="C6" i="4"/>
  <c r="D7" i="4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C3" i="3"/>
  <c r="D4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D8" i="4"/>
  <c r="D4" i="6"/>
  <c r="D7" i="6"/>
  <c r="D11" i="6"/>
  <c r="D13" i="7"/>
  <c r="D12" i="7"/>
  <c r="D5" i="8"/>
  <c r="D6" i="8"/>
  <c r="D7" i="8"/>
  <c r="E23" i="10"/>
  <c r="I4" i="10"/>
  <c r="F24" i="10" s="1"/>
  <c r="E24" i="10" s="1"/>
  <c r="B20" i="5"/>
  <c r="E23" i="9"/>
  <c r="D8" i="9"/>
  <c r="I4" i="9"/>
  <c r="F24" i="9" s="1"/>
  <c r="E24" i="9" s="1"/>
  <c r="E23" i="8"/>
  <c r="I4" i="8"/>
  <c r="F24" i="8" s="1"/>
  <c r="E24" i="8" s="1"/>
  <c r="E23" i="7"/>
  <c r="D10" i="7"/>
  <c r="I4" i="7"/>
  <c r="F24" i="7" s="1"/>
  <c r="E24" i="7" s="1"/>
  <c r="E17" i="6" a="1"/>
  <c r="E17" i="6" s="1"/>
  <c r="E23" i="6"/>
  <c r="D10" i="6"/>
  <c r="D9" i="6"/>
  <c r="D8" i="6"/>
  <c r="D6" i="6"/>
  <c r="I4" i="6"/>
  <c r="F24" i="6" s="1"/>
  <c r="E24" i="6" s="1"/>
  <c r="F23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J4" i="5"/>
  <c r="G24" i="5" s="1"/>
  <c r="F24" i="5" s="1"/>
  <c r="B4" i="5"/>
  <c r="B3" i="5"/>
  <c r="J4" i="1"/>
  <c r="G24" i="1" s="1"/>
  <c r="F24" i="1" s="1"/>
  <c r="E23" i="4"/>
  <c r="D10" i="4"/>
  <c r="D9" i="4"/>
  <c r="I4" i="2"/>
  <c r="F24" i="2"/>
  <c r="E24" i="2" s="1"/>
  <c r="E23" i="3"/>
  <c r="D12" i="3"/>
  <c r="D11" i="3"/>
  <c r="D10" i="3"/>
  <c r="E23" i="2"/>
  <c r="B1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F23" i="1"/>
  <c r="D12" i="9" l="1"/>
  <c r="D9" i="9"/>
  <c r="D14" i="9"/>
  <c r="D3" i="9"/>
  <c r="D13" i="9"/>
  <c r="D10" i="8"/>
  <c r="D5" i="6"/>
  <c r="D3" i="7"/>
  <c r="D3" i="8"/>
  <c r="D17" i="4"/>
  <c r="D11" i="4"/>
  <c r="D12" i="4"/>
  <c r="D9" i="3"/>
  <c r="D8" i="3"/>
  <c r="D7" i="3"/>
  <c r="D6" i="3"/>
  <c r="D3" i="3"/>
  <c r="D17" i="3"/>
  <c r="E17" i="3" a="1"/>
  <c r="E17" i="3" s="1"/>
  <c r="D13" i="3"/>
  <c r="D15" i="3"/>
  <c r="D18" i="3"/>
  <c r="D16" i="3"/>
  <c r="D14" i="3"/>
  <c r="D5" i="3"/>
  <c r="D19" i="4"/>
  <c r="D15" i="4"/>
  <c r="D18" i="4"/>
  <c r="E17" i="4" a="1"/>
  <c r="E17" i="4" s="1"/>
  <c r="D16" i="4"/>
  <c r="D4" i="4"/>
  <c r="D13" i="4"/>
  <c r="D3" i="4"/>
  <c r="D12" i="2"/>
  <c r="D15" i="2"/>
  <c r="D10" i="2"/>
  <c r="D9" i="2"/>
  <c r="D8" i="2"/>
  <c r="D7" i="2"/>
  <c r="D6" i="2"/>
  <c r="D5" i="2"/>
  <c r="D4" i="2"/>
  <c r="D3" i="2"/>
  <c r="D16" i="2"/>
  <c r="D13" i="2"/>
  <c r="D17" i="2"/>
  <c r="D14" i="2"/>
  <c r="D11" i="2"/>
  <c r="E17" i="2" a="1"/>
  <c r="E17" i="2" s="1"/>
  <c r="F17" i="1" a="1"/>
  <c r="F17" i="1" s="1"/>
  <c r="F17" i="5" a="1"/>
  <c r="F17" i="5" s="1"/>
  <c r="D11" i="9"/>
  <c r="E17" i="8" a="1"/>
  <c r="E17" i="8" s="1"/>
  <c r="D11" i="8"/>
  <c r="E17" i="7" a="1"/>
  <c r="E17" i="7" s="1"/>
  <c r="D11" i="7"/>
  <c r="D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<sst xmlns="http://schemas.openxmlformats.org/spreadsheetml/2006/main" count="75" uniqueCount="10">
  <si>
    <t>Force (N)</t>
  </si>
  <si>
    <t>Capacitance (pF)</t>
  </si>
  <si>
    <t>Gap (um)</t>
  </si>
  <si>
    <t>w</t>
  </si>
  <si>
    <t>L</t>
  </si>
  <si>
    <t>Aspect Ratio</t>
  </si>
  <si>
    <t>Expected Slope</t>
  </si>
  <si>
    <t>Capacitance (pF) (after accounting for the relative offset</t>
  </si>
  <si>
    <t>k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</si>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</sst>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 vs.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0721784776902887E-2"/>
                  <c:y val="-0.15777923592884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'w=2 (20240929_234547707)'!$A$5:$A$19</c:f>
              <c:numCache>
                <c:formatCode>General</c:formatCode>
                <c:ptCount val="15"/>
                <c:pt idx="0">
                  <c:v>0.01</c:v>
                </c:pt>
                <c:pt idx="1">
                  <c:v>9.8000000000000004E-2</c:v>
                </c:pt>
                <c:pt idx="2">
                  <c:v>0.36099999999999999</c:v>
                </c:pt>
                <c:pt idx="3">
                  <c:v>0.73199999999999998</c:v>
                </c:pt>
                <c:pt idx="4">
                  <c:v>1.1359999999999999</c:v>
                </c:pt>
                <c:pt idx="5">
                  <c:v>1.5229999999999999</c:v>
                </c:pt>
                <c:pt idx="6">
                  <c:v>2.1110000000000002</c:v>
                </c:pt>
                <c:pt idx="7">
                  <c:v>2.64</c:v>
                </c:pt>
                <c:pt idx="8">
                  <c:v>3.11</c:v>
                </c:pt>
                <c:pt idx="9">
                  <c:v>3.53</c:v>
                </c:pt>
                <c:pt idx="10">
                  <c:v>4.01</c:v>
                </c:pt>
                <c:pt idx="11">
                  <c:v>4.63</c:v>
                </c:pt>
                <c:pt idx="12">
                  <c:v>5.17</c:v>
                </c:pt>
                <c:pt idx="13">
                  <c:v>5.86</c:v>
                </c:pt>
                <c:pt idx="14">
                  <c:v>6.5</c:v>
                </c:pt>
              </c:numCache>
            </c:numRef>
          </c:xVal>
          <c:yVal>
            <c:numRef>
              <c:f>'w=2 (20240929_234547707)'!$C$5:$C$19</c:f>
              <c:numCache>
                <c:formatCode>0.00E+00</c:formatCode>
                <c:ptCount val="15"/>
                <c:pt idx="0">
                  <c:v>10.51178640465203</c:v>
                </c:pt>
                <c:pt idx="1">
                  <c:v>7.6416864030577782</c:v>
                </c:pt>
                <c:pt idx="2">
                  <c:v>6.7271036302995162</c:v>
                </c:pt>
                <c:pt idx="3">
                  <c:v>5.7021976440634923</c:v>
                </c:pt>
                <c:pt idx="4">
                  <c:v>5.2065534539157081</c:v>
                </c:pt>
                <c:pt idx="5">
                  <c:v>4.9281641678912109</c:v>
                </c:pt>
                <c:pt idx="6">
                  <c:v>4.7987090917369617</c:v>
                </c:pt>
                <c:pt idx="7">
                  <c:v>4.5861235500130713</c:v>
                </c:pt>
                <c:pt idx="8">
                  <c:v>4.5141850724960086</c:v>
                </c:pt>
                <c:pt idx="9">
                  <c:v>4.4031276174750742</c:v>
                </c:pt>
                <c:pt idx="10">
                  <c:v>4.3761096075842287</c:v>
                </c:pt>
                <c:pt idx="11">
                  <c:v>4.3098187345098724</c:v>
                </c:pt>
                <c:pt idx="12">
                  <c:v>4.2199117379027777</c:v>
                </c:pt>
                <c:pt idx="13">
                  <c:v>4.1332239176447851</c:v>
                </c:pt>
                <c:pt idx="14">
                  <c:v>4.0613531951279036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1-42BE-9C86-9D8D13909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069296"/>
        <c:axId val="678068816"/>
      </c:scatterChart>
      <c:valAx>
        <c:axId val="6780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8816"/>
        <c:crosses val="autoZero"/>
        <c:crossBetween val="midCat"/>
      </c:valAx>
      <c:valAx>
        <c:axId val="6780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 vs.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0721784776902887E-2"/>
                  <c:y val="-0.15777923592884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'w=2 (20240929_233458613)'!$A$5:$A$19</c:f>
              <c:numCache>
                <c:formatCode>General</c:formatCode>
                <c:ptCount val="15"/>
                <c:pt idx="0">
                  <c:v>0.374</c:v>
                </c:pt>
                <c:pt idx="1">
                  <c:v>0.77</c:v>
                </c:pt>
                <c:pt idx="2">
                  <c:v>1.1599999999999999</c:v>
                </c:pt>
                <c:pt idx="3">
                  <c:v>1.65</c:v>
                </c:pt>
                <c:pt idx="4">
                  <c:v>2.13</c:v>
                </c:pt>
                <c:pt idx="5">
                  <c:v>2.63</c:v>
                </c:pt>
                <c:pt idx="6">
                  <c:v>3.15</c:v>
                </c:pt>
                <c:pt idx="7">
                  <c:v>3.59</c:v>
                </c:pt>
                <c:pt idx="8">
                  <c:v>4.1500000000000004</c:v>
                </c:pt>
                <c:pt idx="9">
                  <c:v>4.6100000000000003</c:v>
                </c:pt>
                <c:pt idx="10">
                  <c:v>5.15</c:v>
                </c:pt>
                <c:pt idx="11">
                  <c:v>5.67</c:v>
                </c:pt>
                <c:pt idx="12">
                  <c:v>6.32</c:v>
                </c:pt>
                <c:pt idx="13">
                  <c:v>6.92</c:v>
                </c:pt>
                <c:pt idx="14">
                  <c:v>7.58</c:v>
                </c:pt>
              </c:numCache>
            </c:numRef>
          </c:xVal>
          <c:yVal>
            <c:numRef>
              <c:f>'w=2 (20240929_233458613)'!$C$5:$C$19</c:f>
              <c:numCache>
                <c:formatCode>0.00E+00</c:formatCode>
                <c:ptCount val="15"/>
                <c:pt idx="0">
                  <c:v>6.6127172357077386</c:v>
                </c:pt>
                <c:pt idx="1">
                  <c:v>5.8116166728919643</c:v>
                </c:pt>
                <c:pt idx="2">
                  <c:v>5.4941575168830408</c:v>
                </c:pt>
                <c:pt idx="3">
                  <c:v>5.1702370945628235</c:v>
                </c:pt>
                <c:pt idx="4">
                  <c:v>4.9447820912149032</c:v>
                </c:pt>
                <c:pt idx="5">
                  <c:v>4.7987090917369617</c:v>
                </c:pt>
                <c:pt idx="6">
                  <c:v>4.6302620735065911</c:v>
                </c:pt>
                <c:pt idx="7">
                  <c:v>4.600753734766541</c:v>
                </c:pt>
                <c:pt idx="8">
                  <c:v>4.5284133475506305</c:v>
                </c:pt>
                <c:pt idx="9">
                  <c:v>4.4719680262380512</c:v>
                </c:pt>
                <c:pt idx="10">
                  <c:v>4.4167464517289972</c:v>
                </c:pt>
                <c:pt idx="11">
                  <c:v>4.3493805603660132</c:v>
                </c:pt>
                <c:pt idx="12">
                  <c:v>4.2452632246050017</c:v>
                </c:pt>
                <c:pt idx="13">
                  <c:v>4.1823758157312652</c:v>
                </c:pt>
                <c:pt idx="14">
                  <c:v>4.1210926774920624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8E-487C-B61D-010C9DA0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069296"/>
        <c:axId val="678068816"/>
      </c:scatterChart>
      <c:valAx>
        <c:axId val="6780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8816"/>
        <c:crosses val="autoZero"/>
        <c:crossBetween val="midCat"/>
      </c:valAx>
      <c:valAx>
        <c:axId val="6780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Gap vs.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0721784776902887E-2"/>
                  <c:y val="-0.15777923592884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'w=2 (20240929_223240518)'!$A$5:$A$19</c:f>
              <c:numCache>
                <c:formatCode>General</c:formatCode>
                <c:ptCount val="15"/>
                <c:pt idx="0">
                  <c:v>0.14399999999999999</c:v>
                </c:pt>
                <c:pt idx="1">
                  <c:v>0.52</c:v>
                </c:pt>
                <c:pt idx="2">
                  <c:v>0.94</c:v>
                </c:pt>
                <c:pt idx="3">
                  <c:v>1.35</c:v>
                </c:pt>
                <c:pt idx="4">
                  <c:v>1.9</c:v>
                </c:pt>
                <c:pt idx="5">
                  <c:v>2.2200000000000002</c:v>
                </c:pt>
                <c:pt idx="6">
                  <c:v>2.78</c:v>
                </c:pt>
                <c:pt idx="7">
                  <c:v>3.3</c:v>
                </c:pt>
                <c:pt idx="8">
                  <c:v>3.76</c:v>
                </c:pt>
                <c:pt idx="9">
                  <c:v>4.3</c:v>
                </c:pt>
                <c:pt idx="10">
                  <c:v>5.4</c:v>
                </c:pt>
                <c:pt idx="11">
                  <c:v>6.01</c:v>
                </c:pt>
                <c:pt idx="12">
                  <c:v>6.7</c:v>
                </c:pt>
                <c:pt idx="13">
                  <c:v>7.3</c:v>
                </c:pt>
                <c:pt idx="14">
                  <c:v>8.02</c:v>
                </c:pt>
              </c:numCache>
            </c:numRef>
          </c:xVal>
          <c:yVal>
            <c:numRef>
              <c:f>'w=2 (20240929_223240518)'!$C$5:$C$19</c:f>
              <c:numCache>
                <c:formatCode>0.00E+00</c:formatCode>
                <c:ptCount val="15"/>
                <c:pt idx="0">
                  <c:v>6.8752755224874544</c:v>
                </c:pt>
                <c:pt idx="1">
                  <c:v>6.5018369375019152</c:v>
                </c:pt>
                <c:pt idx="2">
                  <c:v>5.8116166728919643</c:v>
                </c:pt>
                <c:pt idx="3">
                  <c:v>5.5964381145269417</c:v>
                </c:pt>
                <c:pt idx="4">
                  <c:v>5.1343704734062614</c:v>
                </c:pt>
                <c:pt idx="5">
                  <c:v>4.8789003833635762</c:v>
                </c:pt>
                <c:pt idx="6">
                  <c:v>4.5715750981353196</c:v>
                </c:pt>
                <c:pt idx="7">
                  <c:v>4.5000351901414142</c:v>
                </c:pt>
                <c:pt idx="8">
                  <c:v>4.4031276174750742</c:v>
                </c:pt>
                <c:pt idx="9">
                  <c:v>4.2708815690619879</c:v>
                </c:pt>
                <c:pt idx="10">
                  <c:v>4.1576735121942301</c:v>
                </c:pt>
                <c:pt idx="11">
                  <c:v>4.1332239176447851</c:v>
                </c:pt>
                <c:pt idx="12">
                  <c:v>4.0970149368843769</c:v>
                </c:pt>
                <c:pt idx="13">
                  <c:v>4.0262263794977775</c:v>
                </c:pt>
                <c:pt idx="14">
                  <c:v>3.8799071741167608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6-4AE9-BD12-0C716955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069296"/>
        <c:axId val="678068816"/>
      </c:scatterChart>
      <c:valAx>
        <c:axId val="6780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8816"/>
        <c:crosses val="autoZero"/>
        <c:crossBetween val="midCat"/>
      </c:valAx>
      <c:valAx>
        <c:axId val="6780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'w=2.5 (20241002_054915278)'!$C$1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'w=2.5 (20241002_054915278)'!$A$2:$A$23</c:f>
              <c:numCache>
                <c:formatCode>General</c:formatCode>
                <c:ptCount val="22"/>
                <c:pt idx="0">
                  <c:v>0.13600000000000001</c:v>
                </c:pt>
                <c:pt idx="1">
                  <c:v>0.504</c:v>
                </c:pt>
                <c:pt idx="2">
                  <c:v>1.21</c:v>
                </c:pt>
                <c:pt idx="3">
                  <c:v>1.5</c:v>
                </c:pt>
                <c:pt idx="4">
                  <c:v>1.98</c:v>
                </c:pt>
                <c:pt idx="5">
                  <c:v>2.4900000000000002</c:v>
                </c:pt>
                <c:pt idx="6">
                  <c:v>2.98</c:v>
                </c:pt>
                <c:pt idx="7">
                  <c:v>3.51</c:v>
                </c:pt>
                <c:pt idx="8">
                  <c:v>4.16</c:v>
                </c:pt>
                <c:pt idx="9">
                  <c:v>4.78</c:v>
                </c:pt>
                <c:pt idx="10">
                  <c:v>5.83</c:v>
                </c:pt>
                <c:pt idx="11">
                  <c:v>6.11</c:v>
                </c:pt>
                <c:pt idx="12">
                  <c:v>6.42</c:v>
                </c:pt>
                <c:pt idx="13">
                  <c:v>7.03</c:v>
                </c:pt>
                <c:pt idx="14">
                  <c:v>7.65</c:v>
                </c:pt>
                <c:pt idx="15">
                  <c:v>8.36</c:v>
                </c:pt>
              </c:numCache>
            </c:numRef>
          </c:xVal>
          <c:yVal>
            <c:numRef>
              <c:f>'w=2.5 (20241002_054915278)'!$C$2:$C$23</c:f>
              <c:numCache>
                <c:formatCode>0.00E+00</c:formatCode>
                <c:ptCount val="22"/>
                <c:pt idx="0">
                  <c:v>8.8644075772063502</c:v>
                </c:pt>
                <c:pt idx="1">
                  <c:v>7.2833026106349212</c:v>
                </c:pt>
                <c:pt idx="2">
                  <c:v>6.2745857921991428</c:v>
                </c:pt>
                <c:pt idx="3">
                  <c:v>6.0565832400191582</c:v>
                </c:pt>
                <c:pt idx="4">
                  <c:v>6.0374462616173199</c:v>
                </c:pt>
                <c:pt idx="5">
                  <c:v>5.625692565035842</c:v>
                </c:pt>
                <c:pt idx="6">
                  <c:v>5.5265193144444451</c:v>
                </c:pt>
                <c:pt idx="7">
                  <c:v>5.4147240137777777</c:v>
                </c:pt>
                <c:pt idx="8">
                  <c:v>5.2918345229686183</c:v>
                </c:pt>
                <c:pt idx="9">
                  <c:v>5.188338529927778</c:v>
                </c:pt>
                <c:pt idx="10">
                  <c:v>5.0466175359729002</c:v>
                </c:pt>
                <c:pt idx="11">
                  <c:v>5.0190988963700107</c:v>
                </c:pt>
                <c:pt idx="12">
                  <c:v>5.005439523201507</c:v>
                </c:pt>
                <c:pt idx="13">
                  <c:v>4.951457156338928</c:v>
                </c:pt>
                <c:pt idx="14">
                  <c:v>4.8594388647117404</c:v>
                </c:pt>
                <c:pt idx="15">
                  <c:v>4.6963688552606149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8-4F54-992C-3A3FCCD74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'w=2.5 (20241002_054114017)'!$C$1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'w=2.5 (20241002_054114017)'!$A$2:$A$23</c:f>
              <c:numCache>
                <c:formatCode>General</c:formatCode>
                <c:ptCount val="22"/>
                <c:pt idx="0">
                  <c:v>0.24</c:v>
                </c:pt>
                <c:pt idx="1">
                  <c:v>0.56000000000000005</c:v>
                </c:pt>
                <c:pt idx="2">
                  <c:v>0.99</c:v>
                </c:pt>
                <c:pt idx="3">
                  <c:v>1.54</c:v>
                </c:pt>
                <c:pt idx="4">
                  <c:v>2.11</c:v>
                </c:pt>
                <c:pt idx="5">
                  <c:v>2.89</c:v>
                </c:pt>
                <c:pt idx="6">
                  <c:v>3.25</c:v>
                </c:pt>
                <c:pt idx="7">
                  <c:v>3.69</c:v>
                </c:pt>
                <c:pt idx="8">
                  <c:v>4.29</c:v>
                </c:pt>
                <c:pt idx="9">
                  <c:v>4.8899999999999997</c:v>
                </c:pt>
                <c:pt idx="10">
                  <c:v>5.3949999999999996</c:v>
                </c:pt>
                <c:pt idx="11">
                  <c:v>6.1</c:v>
                </c:pt>
                <c:pt idx="12">
                  <c:v>6.94</c:v>
                </c:pt>
                <c:pt idx="13">
                  <c:v>7.91</c:v>
                </c:pt>
                <c:pt idx="14">
                  <c:v>8.6</c:v>
                </c:pt>
              </c:numCache>
            </c:numRef>
          </c:xVal>
          <c:yVal>
            <c:numRef>
              <c:f>'w=2.5 (20241002_054114017)'!$C$2:$C$23</c:f>
              <c:numCache>
                <c:formatCode>0.00E+00</c:formatCode>
                <c:ptCount val="22"/>
                <c:pt idx="0">
                  <c:v>9.062045698027779</c:v>
                </c:pt>
                <c:pt idx="1">
                  <c:v>7.4200763966705123</c:v>
                </c:pt>
                <c:pt idx="2">
                  <c:v>6.8995392692340891</c:v>
                </c:pt>
                <c:pt idx="3">
                  <c:v>6.4208817197777783</c:v>
                </c:pt>
                <c:pt idx="4">
                  <c:v>6.1737552656725141</c:v>
                </c:pt>
                <c:pt idx="5">
                  <c:v>5.7630093735470096</c:v>
                </c:pt>
                <c:pt idx="6">
                  <c:v>5.7108140199031183</c:v>
                </c:pt>
                <c:pt idx="7">
                  <c:v>5.5592253864479906</c:v>
                </c:pt>
                <c:pt idx="8">
                  <c:v>5.3990842566896955</c:v>
                </c:pt>
                <c:pt idx="9">
                  <c:v>5.2768242266610264</c:v>
                </c:pt>
                <c:pt idx="10">
                  <c:v>5.2322470494654345</c:v>
                </c:pt>
                <c:pt idx="11">
                  <c:v>5.1594302674792694</c:v>
                </c:pt>
                <c:pt idx="12">
                  <c:v>5.0190988963700107</c:v>
                </c:pt>
                <c:pt idx="13">
                  <c:v>4.951457156338928</c:v>
                </c:pt>
                <c:pt idx="14">
                  <c:v>4.8723978743735223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B-4578-A311-09A91EC7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'w=3 (20241002_053026357)'!$C$1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'w=3 (20241002_053026357)'!$A$2:$A$23</c:f>
              <c:numCache>
                <c:formatCode>General</c:formatCode>
                <c:ptCount val="22"/>
                <c:pt idx="0">
                  <c:v>7.6999999999999999E-2</c:v>
                </c:pt>
                <c:pt idx="1">
                  <c:v>0.51700000000000002</c:v>
                </c:pt>
                <c:pt idx="2">
                  <c:v>0.93300000000000005</c:v>
                </c:pt>
                <c:pt idx="3">
                  <c:v>1.79</c:v>
                </c:pt>
                <c:pt idx="4">
                  <c:v>2.11</c:v>
                </c:pt>
                <c:pt idx="5">
                  <c:v>2.82</c:v>
                </c:pt>
                <c:pt idx="6">
                  <c:v>3.21</c:v>
                </c:pt>
                <c:pt idx="7">
                  <c:v>3.91</c:v>
                </c:pt>
                <c:pt idx="8">
                  <c:v>4.63</c:v>
                </c:pt>
                <c:pt idx="9">
                  <c:v>5.43</c:v>
                </c:pt>
                <c:pt idx="10">
                  <c:v>5.83</c:v>
                </c:pt>
                <c:pt idx="11">
                  <c:v>6.4</c:v>
                </c:pt>
                <c:pt idx="12">
                  <c:v>7.32</c:v>
                </c:pt>
                <c:pt idx="13">
                  <c:v>8.33</c:v>
                </c:pt>
              </c:numCache>
            </c:numRef>
          </c:xVal>
          <c:yVal>
            <c:numRef>
              <c:f>'w=3 (20241002_053026357)'!$C$2:$C$23</c:f>
              <c:numCache>
                <c:formatCode>0.00E+00</c:formatCode>
                <c:ptCount val="22"/>
                <c:pt idx="0">
                  <c:v>10.90285695559596</c:v>
                </c:pt>
                <c:pt idx="1">
                  <c:v>7.6051204356892805</c:v>
                </c:pt>
                <c:pt idx="2">
                  <c:v>6.8954844112872102</c:v>
                </c:pt>
                <c:pt idx="3">
                  <c:v>6.3330624686306445</c:v>
                </c:pt>
                <c:pt idx="4">
                  <c:v>6.1146598092560369</c:v>
                </c:pt>
                <c:pt idx="5">
                  <c:v>5.8791044934700842</c:v>
                </c:pt>
                <c:pt idx="6">
                  <c:v>5.659465077399398</c:v>
                </c:pt>
                <c:pt idx="7">
                  <c:v>5.3887026937950182</c:v>
                </c:pt>
                <c:pt idx="8">
                  <c:v>5.2126504996020451</c:v>
                </c:pt>
                <c:pt idx="9">
                  <c:v>5.1166032119999985</c:v>
                </c:pt>
                <c:pt idx="10">
                  <c:v>4.9670947337537283</c:v>
                </c:pt>
                <c:pt idx="11">
                  <c:v>4.889772167169081</c:v>
                </c:pt>
                <c:pt idx="12">
                  <c:v>4.72082214757088</c:v>
                </c:pt>
                <c:pt idx="13">
                  <c:v>4.6105529391886586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F-43EB-8F0F-6429A71F9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'w=3 (20241002_052600408)'!$C$1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'w=3 (20241002_052600408)'!$A$2:$A$23</c:f>
              <c:numCache>
                <c:formatCode>General</c:formatCode>
                <c:ptCount val="22"/>
                <c:pt idx="0">
                  <c:v>8.9999999999999993E-3</c:v>
                </c:pt>
                <c:pt idx="1">
                  <c:v>0.34499999999999997</c:v>
                </c:pt>
                <c:pt idx="2">
                  <c:v>0.745</c:v>
                </c:pt>
                <c:pt idx="3">
                  <c:v>1.1040000000000001</c:v>
                </c:pt>
                <c:pt idx="4">
                  <c:v>1.5349999999999999</c:v>
                </c:pt>
                <c:pt idx="5">
                  <c:v>2.23</c:v>
                </c:pt>
                <c:pt idx="6">
                  <c:v>2.87</c:v>
                </c:pt>
                <c:pt idx="7">
                  <c:v>3.3</c:v>
                </c:pt>
                <c:pt idx="8">
                  <c:v>3.96</c:v>
                </c:pt>
                <c:pt idx="9">
                  <c:v>5.76</c:v>
                </c:pt>
                <c:pt idx="10">
                  <c:v>6.39</c:v>
                </c:pt>
                <c:pt idx="11">
                  <c:v>7.17</c:v>
                </c:pt>
                <c:pt idx="12">
                  <c:v>7.87</c:v>
                </c:pt>
              </c:numCache>
            </c:numRef>
          </c:xVal>
          <c:yVal>
            <c:numRef>
              <c:f>'w=3 (20241002_052600408)'!$C$2:$C$23</c:f>
              <c:numCache>
                <c:formatCode>0.00E+00</c:formatCode>
                <c:ptCount val="22"/>
                <c:pt idx="0">
                  <c:v>12.851541840734297</c:v>
                </c:pt>
                <c:pt idx="1">
                  <c:v>9.5198474542577767</c:v>
                </c:pt>
                <c:pt idx="2">
                  <c:v>7.5809223690483636</c:v>
                </c:pt>
                <c:pt idx="3">
                  <c:v>6.8351819516601298</c:v>
                </c:pt>
                <c:pt idx="4">
                  <c:v>6.3854892376571737</c:v>
                </c:pt>
                <c:pt idx="5">
                  <c:v>5.9248884844256633</c:v>
                </c:pt>
                <c:pt idx="6">
                  <c:v>5.7310104908347244</c:v>
                </c:pt>
                <c:pt idx="7">
                  <c:v>5.5757092467377767</c:v>
                </c:pt>
                <c:pt idx="8">
                  <c:v>5.4807737537777763</c:v>
                </c:pt>
                <c:pt idx="9">
                  <c:v>5.3119674821011813</c:v>
                </c:pt>
                <c:pt idx="10">
                  <c:v>5.1883385299277762</c:v>
                </c:pt>
                <c:pt idx="11">
                  <c:v>5.1166032119999985</c:v>
                </c:pt>
                <c:pt idx="12">
                  <c:v>5.0009010863100345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C-48BD-9FDF-C5BB0EFDC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'w=6.35 (20240930_002516806)'!$C$1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'w=6.35 (20240930_002516806)'!$A$2:$A$23</c:f>
              <c:numCache>
                <c:formatCode>General</c:formatCode>
                <c:ptCount val="22"/>
                <c:pt idx="0">
                  <c:v>0.23</c:v>
                </c:pt>
                <c:pt idx="1">
                  <c:v>0.41</c:v>
                </c:pt>
                <c:pt idx="2">
                  <c:v>0.72</c:v>
                </c:pt>
                <c:pt idx="3">
                  <c:v>1.1200000000000001</c:v>
                </c:pt>
                <c:pt idx="4">
                  <c:v>1.55</c:v>
                </c:pt>
                <c:pt idx="5">
                  <c:v>1.97</c:v>
                </c:pt>
                <c:pt idx="6">
                  <c:v>2.42</c:v>
                </c:pt>
                <c:pt idx="7">
                  <c:v>2.85</c:v>
                </c:pt>
                <c:pt idx="8">
                  <c:v>3.34</c:v>
                </c:pt>
                <c:pt idx="9">
                  <c:v>3.81</c:v>
                </c:pt>
                <c:pt idx="10">
                  <c:v>4.28</c:v>
                </c:pt>
                <c:pt idx="11">
                  <c:v>4.8</c:v>
                </c:pt>
                <c:pt idx="12">
                  <c:v>5.5</c:v>
                </c:pt>
                <c:pt idx="13">
                  <c:v>6.1</c:v>
                </c:pt>
                <c:pt idx="14">
                  <c:v>6.79</c:v>
                </c:pt>
                <c:pt idx="15">
                  <c:v>7.52</c:v>
                </c:pt>
                <c:pt idx="16">
                  <c:v>8.23</c:v>
                </c:pt>
              </c:numCache>
            </c:numRef>
          </c:xVal>
          <c:yVal>
            <c:numRef>
              <c:f>'w=6.35 (20240930_002516806)'!$C$2:$C$23</c:f>
              <c:numCache>
                <c:formatCode>General</c:formatCode>
                <c:ptCount val="22"/>
                <c:pt idx="0">
                  <c:v>18.990833339852188</c:v>
                </c:pt>
                <c:pt idx="1">
                  <c:v>17.711721020586467</c:v>
                </c:pt>
                <c:pt idx="2">
                  <c:v>14.285681121677774</c:v>
                </c:pt>
                <c:pt idx="3">
                  <c:v>11.676798036495276</c:v>
                </c:pt>
                <c:pt idx="4">
                  <c:v>9.5387583701777761</c:v>
                </c:pt>
                <c:pt idx="5">
                  <c:v>8.4045816373869506</c:v>
                </c:pt>
                <c:pt idx="6">
                  <c:v>7.6926083752205932</c:v>
                </c:pt>
                <c:pt idx="7">
                  <c:v>7.2177906917012811</c:v>
                </c:pt>
                <c:pt idx="8">
                  <c:v>6.7942724061501378</c:v>
                </c:pt>
                <c:pt idx="9">
                  <c:v>6.3974326222300943</c:v>
                </c:pt>
                <c:pt idx="10">
                  <c:v>5.9886733255766567</c:v>
                </c:pt>
                <c:pt idx="11">
                  <c:v>5.6917133116648353</c:v>
                </c:pt>
                <c:pt idx="12">
                  <c:v>5.251936707314492</c:v>
                </c:pt>
                <c:pt idx="13">
                  <c:v>4.9576735473282492</c:v>
                </c:pt>
                <c:pt idx="14">
                  <c:v>4.7543986559056455</c:v>
                </c:pt>
                <c:pt idx="15">
                  <c:v>4.5883071018593302</c:v>
                </c:pt>
                <c:pt idx="16">
                  <c:v>4.4451852663480773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9-4CAB-8211-73A0FCF6A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'w=6.35 (20240930_001910459)'!$C$1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'w=6.35 (20240930_001910459)'!$A$2:$A$23</c:f>
              <c:numCache>
                <c:formatCode>General</c:formatCode>
                <c:ptCount val="22"/>
                <c:pt idx="0">
                  <c:v>8.9999999999999993E-3</c:v>
                </c:pt>
                <c:pt idx="1">
                  <c:v>5.1999999999999998E-2</c:v>
                </c:pt>
                <c:pt idx="2">
                  <c:v>0.248</c:v>
                </c:pt>
                <c:pt idx="3">
                  <c:v>0.55000000000000004</c:v>
                </c:pt>
                <c:pt idx="4">
                  <c:v>0.89300000000000002</c:v>
                </c:pt>
                <c:pt idx="5">
                  <c:v>1.3340000000000001</c:v>
                </c:pt>
                <c:pt idx="6">
                  <c:v>1.66</c:v>
                </c:pt>
                <c:pt idx="7">
                  <c:v>2.1</c:v>
                </c:pt>
                <c:pt idx="8">
                  <c:v>2.5299999999999998</c:v>
                </c:pt>
                <c:pt idx="9">
                  <c:v>2.86</c:v>
                </c:pt>
                <c:pt idx="10">
                  <c:v>3.56</c:v>
                </c:pt>
                <c:pt idx="11">
                  <c:v>4.09</c:v>
                </c:pt>
                <c:pt idx="12">
                  <c:v>4.6500000000000004</c:v>
                </c:pt>
                <c:pt idx="13">
                  <c:v>5.1100000000000003</c:v>
                </c:pt>
                <c:pt idx="14">
                  <c:v>5.8</c:v>
                </c:pt>
                <c:pt idx="15">
                  <c:v>6.27</c:v>
                </c:pt>
                <c:pt idx="16">
                  <c:v>6.91</c:v>
                </c:pt>
                <c:pt idx="17">
                  <c:v>7.47</c:v>
                </c:pt>
                <c:pt idx="18">
                  <c:v>8.1199999999999992</c:v>
                </c:pt>
              </c:numCache>
            </c:numRef>
          </c:xVal>
          <c:yVal>
            <c:numRef>
              <c:f>'w=6.35 (20240930_001910459)'!$C$2:$C$23</c:f>
              <c:numCache>
                <c:formatCode>General</c:formatCode>
                <c:ptCount val="22"/>
                <c:pt idx="0">
                  <c:v>26.96436527396656</c:v>
                </c:pt>
                <c:pt idx="1">
                  <c:v>21.405873763540455</c:v>
                </c:pt>
                <c:pt idx="2">
                  <c:v>19.056210191725771</c:v>
                </c:pt>
                <c:pt idx="3">
                  <c:v>15.91427560462483</c:v>
                </c:pt>
                <c:pt idx="4">
                  <c:v>13.990475114867875</c:v>
                </c:pt>
                <c:pt idx="5">
                  <c:v>11.401259904426247</c:v>
                </c:pt>
                <c:pt idx="6">
                  <c:v>9.9765744100657479</c:v>
                </c:pt>
                <c:pt idx="7">
                  <c:v>8.5733069431740372</c:v>
                </c:pt>
                <c:pt idx="8">
                  <c:v>7.823456925394944</c:v>
                </c:pt>
                <c:pt idx="9">
                  <c:v>7.228216240788945</c:v>
                </c:pt>
                <c:pt idx="10">
                  <c:v>6.7113550749012543</c:v>
                </c:pt>
                <c:pt idx="11">
                  <c:v>6.3807786368340036</c:v>
                </c:pt>
                <c:pt idx="12">
                  <c:v>6.0787195759439507</c:v>
                </c:pt>
                <c:pt idx="13">
                  <c:v>5.7393399805626899</c:v>
                </c:pt>
                <c:pt idx="14">
                  <c:v>5.4017877004149186</c:v>
                </c:pt>
                <c:pt idx="15">
                  <c:v>5.182625097526449</c:v>
                </c:pt>
                <c:pt idx="16">
                  <c:v>4.9366569907574371</c:v>
                </c:pt>
                <c:pt idx="17">
                  <c:v>4.7446229815817764</c:v>
                </c:pt>
                <c:pt idx="18">
                  <c:v>4.5608591861925261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2-4909-9B31-C12EC73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'w=6.35 (20240930_002228313)'!$C$1</c:f>
              <c:strCache>
                <c:ptCount val="1"/>
                <c:pt idx="0">
                  <c:v>Gap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'w=6.35 (20240930_002228313)'!$A$2:$A$23</c:f>
              <c:numCache>
                <c:formatCode>General</c:formatCode>
                <c:ptCount val="22"/>
                <c:pt idx="0">
                  <c:v>0.01</c:v>
                </c:pt>
                <c:pt idx="1">
                  <c:v>0.17</c:v>
                </c:pt>
                <c:pt idx="2">
                  <c:v>0.45500000000000002</c:v>
                </c:pt>
                <c:pt idx="3">
                  <c:v>0.81599999999999995</c:v>
                </c:pt>
                <c:pt idx="4">
                  <c:v>1.21</c:v>
                </c:pt>
                <c:pt idx="5">
                  <c:v>1.595</c:v>
                </c:pt>
                <c:pt idx="6">
                  <c:v>2.06</c:v>
                </c:pt>
                <c:pt idx="7">
                  <c:v>2.42</c:v>
                </c:pt>
                <c:pt idx="8">
                  <c:v>2.915</c:v>
                </c:pt>
                <c:pt idx="9">
                  <c:v>3.41</c:v>
                </c:pt>
                <c:pt idx="10">
                  <c:v>3.93</c:v>
                </c:pt>
                <c:pt idx="11">
                  <c:v>4.4640000000000004</c:v>
                </c:pt>
                <c:pt idx="12">
                  <c:v>4.9630000000000001</c:v>
                </c:pt>
                <c:pt idx="13">
                  <c:v>5.52</c:v>
                </c:pt>
                <c:pt idx="14">
                  <c:v>6.15</c:v>
                </c:pt>
                <c:pt idx="15">
                  <c:v>6.79</c:v>
                </c:pt>
                <c:pt idx="16">
                  <c:v>7.44</c:v>
                </c:pt>
                <c:pt idx="17">
                  <c:v>8.14</c:v>
                </c:pt>
              </c:numCache>
            </c:numRef>
          </c:xVal>
          <c:yVal>
            <c:numRef>
              <c:f>'w=6.35 (20240930_002228313)'!$C$2:$C$23</c:f>
              <c:numCache>
                <c:formatCode>General</c:formatCode>
                <c:ptCount val="22"/>
                <c:pt idx="0">
                  <c:v>27.489824083417773</c:v>
                </c:pt>
                <c:pt idx="1">
                  <c:v>19.805216269765314</c:v>
                </c:pt>
                <c:pt idx="2">
                  <c:v>16.39083173796336</c:v>
                </c:pt>
                <c:pt idx="3">
                  <c:v>14.361355757941228</c:v>
                </c:pt>
                <c:pt idx="4">
                  <c:v>11.425797623052061</c:v>
                </c:pt>
                <c:pt idx="5">
                  <c:v>9.7348474693293561</c:v>
                </c:pt>
                <c:pt idx="6">
                  <c:v>8.5305370400791709</c:v>
                </c:pt>
                <c:pt idx="7">
                  <c:v>7.7873642794649554</c:v>
                </c:pt>
                <c:pt idx="8">
                  <c:v>7.1866795293444437</c:v>
                </c:pt>
                <c:pt idx="9">
                  <c:v>6.6660860792399976</c:v>
                </c:pt>
                <c:pt idx="10">
                  <c:v>6.2824909054788289</c:v>
                </c:pt>
                <c:pt idx="11">
                  <c:v>5.9812785878274397</c:v>
                </c:pt>
                <c:pt idx="12">
                  <c:v>5.7120371384906505</c:v>
                </c:pt>
                <c:pt idx="13">
                  <c:v>5.4264762656716288</c:v>
                </c:pt>
                <c:pt idx="14">
                  <c:v>5.13731897210402</c:v>
                </c:pt>
                <c:pt idx="15">
                  <c:v>4.8950952770155336</c:v>
                </c:pt>
                <c:pt idx="16">
                  <c:v>4.705873196716766</c:v>
                </c:pt>
                <c:pt idx="17">
                  <c:v>4.5336989342707019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0-4354-B9E9-0E290836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27328"/>
        <c:axId val="1205125408"/>
      </c:scatterChart>
      <c:valAx>
        <c:axId val="12051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5408"/>
        <c:crosses val="autoZero"/>
        <c:crossBetween val="midCat"/>
      </c:valAx>
      <c:valAx>
        <c:axId val="12051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159543</xdr:colOff>
      <xdr:row>12</xdr:row>
      <xdr:rowOff>0</xdr:rowOff>
    </xdr:from>
    <xdr:to>
      <xdr:col>17</xdr:col>
      <xdr:colOff>197643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3F1BD-2C74-47CA-84CC-62BEFBE6A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159543</xdr:colOff>
      <xdr:row>12</xdr:row>
      <xdr:rowOff>0</xdr:rowOff>
    </xdr:from>
    <xdr:to>
      <xdr:col>18</xdr:col>
      <xdr:colOff>197643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A0494-C6F7-47C5-93BF-59F51D970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159543</xdr:colOff>
      <xdr:row>12</xdr:row>
      <xdr:rowOff>0</xdr:rowOff>
    </xdr:from>
    <xdr:to>
      <xdr:col>18</xdr:col>
      <xdr:colOff>197643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FFDF3-98B2-C9D5-24F8-F4ED2A538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E8E82-B550-4C34-8E47-3BD4129E6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3E0A6-BB18-452D-8843-041166085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DD00F-5D82-4F6A-BAA9-E08FFFE4F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AE647-BCEB-443F-9C96-96B34F027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C344B-980C-DC80-E395-090D69CD5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DE543-9086-44B2-A267-6F847B7F5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97631</xdr:colOff>
      <xdr:row>12</xdr:row>
      <xdr:rowOff>0</xdr:rowOff>
    </xdr:from>
    <xdr:to>
      <xdr:col>15</xdr:col>
      <xdr:colOff>135731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19DD8-65BC-44D6-9AA2-7B99A6D0C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36E8-E871-4FC9-BF14-A7FEBA2D8C7C}">
  <dimension ref="A1:I24"/>
  <sheetViews>
    <sheetView workbookViewId="0">
      <selection activeCell="C2" sqref="C2:C22"/>
    </sheetView>
  </sheetViews>
  <sheetFormatPr defaultRowHeight="14.25" x14ac:dyDescent="0.45"/>
  <cols>
    <col min="3" max="3" width="9.265625" bestFit="1" customWidth="1"/>
  </cols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1.5E-3</v>
      </c>
      <c r="B2">
        <v>12.8</v>
      </c>
      <c r="C2" s="1">
        <f>1000000*(8.8541878128*(7*$I$2*0.0015) / B2 - ($I$5 / 45))</f>
        <v>13.904179658152778</v>
      </c>
      <c r="H2" t="s">
        <v>3</v>
      </c>
      <c r="I2" s="1">
        <v>2E-3</v>
      </c>
    </row>
    <row r="3" spans="1:9" x14ac:dyDescent="0.45">
      <c r="A3">
        <v>3.0000000000000001E-3</v>
      </c>
      <c r="B3">
        <v>13.7</v>
      </c>
      <c r="C3" s="1">
        <f t="shared" ref="C3:C22" si="0">1000000*(8.8541878128*(7*$I$2*0.0015) / B3 - ($I$5 / 45))</f>
        <v>12.949890483529604</v>
      </c>
      <c r="H3" t="s">
        <v>4</v>
      </c>
      <c r="I3" s="1">
        <v>0.06</v>
      </c>
    </row>
    <row r="4" spans="1:9" x14ac:dyDescent="0.45">
      <c r="A4">
        <v>4.0000000000000001E-3</v>
      </c>
      <c r="B4">
        <v>14.7</v>
      </c>
      <c r="C4" s="1">
        <f t="shared" si="0"/>
        <v>12.026617510349208</v>
      </c>
      <c r="H4" t="s">
        <v>5</v>
      </c>
      <c r="I4" s="1">
        <f>I2/I3</f>
        <v>3.3333333333333333E-2</v>
      </c>
    </row>
    <row r="5" spans="1:9" x14ac:dyDescent="0.45">
      <c r="A5">
        <v>0.01</v>
      </c>
      <c r="B5">
        <v>16.7</v>
      </c>
      <c r="C5" s="1">
        <f t="shared" si="0"/>
        <v>10.51178640465203</v>
      </c>
      <c r="H5" t="s">
        <v>9</v>
      </c>
      <c r="I5" s="1">
        <v>2.8E-5</v>
      </c>
    </row>
    <row r="6" spans="1:9" x14ac:dyDescent="0.45">
      <c r="A6">
        <v>9.8000000000000004E-2</v>
      </c>
      <c r="B6">
        <v>22.5</v>
      </c>
      <c r="C6" s="1">
        <f t="shared" si="0"/>
        <v>7.6416864030577782</v>
      </c>
    </row>
    <row r="7" spans="1:9" x14ac:dyDescent="0.45">
      <c r="A7">
        <v>0.36099999999999999</v>
      </c>
      <c r="B7">
        <v>25.3</v>
      </c>
      <c r="C7" s="1">
        <f t="shared" si="0"/>
        <v>6.7271036302995162</v>
      </c>
    </row>
    <row r="8" spans="1:9" x14ac:dyDescent="0.45">
      <c r="A8">
        <v>0.73199999999999998</v>
      </c>
      <c r="B8">
        <v>29.4</v>
      </c>
      <c r="C8" s="1">
        <f t="shared" si="0"/>
        <v>5.7021976440634923</v>
      </c>
    </row>
    <row r="9" spans="1:9" x14ac:dyDescent="0.45">
      <c r="A9">
        <v>1.1359999999999999</v>
      </c>
      <c r="B9">
        <v>31.9</v>
      </c>
      <c r="C9" s="1">
        <f t="shared" si="0"/>
        <v>5.2065534539157081</v>
      </c>
    </row>
    <row r="10" spans="1:9" x14ac:dyDescent="0.45">
      <c r="A10">
        <v>1.5229999999999999</v>
      </c>
      <c r="B10">
        <v>33.5</v>
      </c>
      <c r="C10" s="1">
        <f t="shared" si="0"/>
        <v>4.9281641678912109</v>
      </c>
    </row>
    <row r="11" spans="1:9" x14ac:dyDescent="0.45">
      <c r="A11">
        <v>2.1110000000000002</v>
      </c>
      <c r="B11">
        <v>34.299999999999997</v>
      </c>
      <c r="C11" s="1">
        <f t="shared" si="0"/>
        <v>4.7987090917369617</v>
      </c>
    </row>
    <row r="12" spans="1:9" x14ac:dyDescent="0.45">
      <c r="A12">
        <v>2.64</v>
      </c>
      <c r="B12">
        <v>35.700000000000003</v>
      </c>
      <c r="C12" s="1">
        <f t="shared" si="0"/>
        <v>4.5861235500130713</v>
      </c>
    </row>
    <row r="13" spans="1:9" x14ac:dyDescent="0.45">
      <c r="A13">
        <v>3.11</v>
      </c>
      <c r="B13">
        <v>36.200000000000003</v>
      </c>
      <c r="C13" s="1">
        <f t="shared" si="0"/>
        <v>4.5141850724960086</v>
      </c>
      <c r="E13">
        <v>27.3</v>
      </c>
    </row>
    <row r="14" spans="1:9" x14ac:dyDescent="0.45">
      <c r="A14">
        <v>3.53</v>
      </c>
      <c r="B14">
        <v>37</v>
      </c>
      <c r="C14" s="1">
        <f t="shared" si="0"/>
        <v>4.4031276174750742</v>
      </c>
    </row>
    <row r="15" spans="1:9" x14ac:dyDescent="0.45">
      <c r="A15">
        <v>4.01</v>
      </c>
      <c r="B15">
        <v>37.200000000000003</v>
      </c>
      <c r="C15" s="1">
        <f t="shared" si="0"/>
        <v>4.3761096075842287</v>
      </c>
      <c r="E15">
        <v>4.9000000000000004</v>
      </c>
      <c r="F15">
        <v>26.8</v>
      </c>
    </row>
    <row r="16" spans="1:9" x14ac:dyDescent="0.45">
      <c r="A16">
        <v>4.63</v>
      </c>
      <c r="B16">
        <v>37.700000000000003</v>
      </c>
      <c r="C16" s="1">
        <f t="shared" si="0"/>
        <v>4.3098187345098724</v>
      </c>
    </row>
    <row r="17" spans="1:6" x14ac:dyDescent="0.45">
      <c r="A17">
        <v>5.17</v>
      </c>
      <c r="B17">
        <v>38.4</v>
      </c>
      <c r="C17" s="1">
        <f t="shared" si="0"/>
        <v>4.2199117379027777</v>
      </c>
      <c r="E17" cm="1">
        <f t="array" ref="E17:F17">LINEST(A13:A20, C13:C20)</f>
        <v>-7.7968650599793481</v>
      </c>
      <c r="F17">
        <v>38.128411033477526</v>
      </c>
    </row>
    <row r="18" spans="1:6" x14ac:dyDescent="0.45">
      <c r="A18">
        <v>5.86</v>
      </c>
      <c r="B18">
        <v>39.1</v>
      </c>
      <c r="C18" s="1">
        <f t="shared" si="0"/>
        <v>4.1332239176447851</v>
      </c>
    </row>
    <row r="19" spans="1:6" x14ac:dyDescent="0.45">
      <c r="A19">
        <v>6.5</v>
      </c>
      <c r="B19">
        <v>39.700000000000003</v>
      </c>
      <c r="C19" s="1">
        <f t="shared" si="0"/>
        <v>4.0613531951279036</v>
      </c>
    </row>
    <row r="20" spans="1:6" x14ac:dyDescent="0.45">
      <c r="A20">
        <v>7.14</v>
      </c>
      <c r="B20">
        <v>40.4</v>
      </c>
      <c r="C20" s="1">
        <f t="shared" si="0"/>
        <v>3.9802021359163917</v>
      </c>
    </row>
    <row r="21" spans="1:6" x14ac:dyDescent="0.45">
      <c r="A21">
        <v>7.67</v>
      </c>
      <c r="B21">
        <v>40.9</v>
      </c>
      <c r="C21" s="1">
        <f t="shared" si="0"/>
        <v>3.9239377794599295</v>
      </c>
    </row>
    <row r="22" spans="1:6" x14ac:dyDescent="0.45">
      <c r="A22">
        <v>8.26</v>
      </c>
      <c r="B22">
        <v>41.4</v>
      </c>
      <c r="C22" s="1">
        <f t="shared" si="0"/>
        <v>3.8690324654299513</v>
      </c>
      <c r="E22" t="s">
        <v>6</v>
      </c>
    </row>
    <row r="23" spans="1:6" x14ac:dyDescent="0.45">
      <c r="E23">
        <f>150000000/(1-0.3*0.3)*0.002/1000000</f>
        <v>0.32967032967032961</v>
      </c>
    </row>
    <row r="24" spans="1:6" x14ac:dyDescent="0.45">
      <c r="E24">
        <f>150000000/(1-0.3*0.3)*F24/1000000</f>
        <v>3.8827095651506172</v>
      </c>
      <c r="F24" s="1">
        <f>2*SQRT(I2*I3)/(SQRT(I4)*ASINH(1/I4)+1/SQRT(I4)*ASINH(I4))</f>
        <v>2.3555104695247079E-2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6702-ED1C-4DAF-A0B1-47EF4A51F177}">
  <dimension ref="A1:J24"/>
  <sheetViews>
    <sheetView workbookViewId="0">
      <selection activeCell="C2" sqref="C2:C20"/>
    </sheetView>
  </sheetViews>
  <sheetFormatPr defaultRowHeight="14.25" x14ac:dyDescent="0.45"/>
  <cols>
    <col min="3" max="3" width="9.265625" bestFit="1" customWidth="1"/>
  </cols>
  <sheetData>
    <row r="1" spans="1:10" x14ac:dyDescent="0.45">
      <c r="A1" t="s">
        <v>0</v>
      </c>
      <c r="B1" t="s">
        <v>7</v>
      </c>
      <c r="C1" t="s">
        <v>2</v>
      </c>
      <c r="E1" t="s">
        <v>1</v>
      </c>
    </row>
    <row r="2" spans="1:10" x14ac:dyDescent="0.45">
      <c r="A2">
        <v>2.3E-3</v>
      </c>
      <c r="B2">
        <f>E2+$G$2</f>
        <v>14.7</v>
      </c>
      <c r="C2" s="1">
        <f>1000000*(8.8541878128*(7*$J$2*0.0015) / B2 - ($J$5 / 45))</f>
        <v>12.026617510349208</v>
      </c>
      <c r="E2">
        <v>4.2</v>
      </c>
      <c r="G2">
        <v>10.5</v>
      </c>
      <c r="I2" t="s">
        <v>3</v>
      </c>
      <c r="J2" s="1">
        <v>2E-3</v>
      </c>
    </row>
    <row r="3" spans="1:10" x14ac:dyDescent="0.45">
      <c r="A3">
        <v>3.8999999999999998E-3</v>
      </c>
      <c r="B3">
        <f t="shared" ref="B2:B20" si="0">E3+$G$2</f>
        <v>15.4</v>
      </c>
      <c r="C3" s="1">
        <f t="shared" ref="C3:C20" si="1">1000000*(8.8541878128*(7*$J$2*0.0015) / B3 - ($J$5 / 45))</f>
        <v>11.451670249777779</v>
      </c>
      <c r="E3">
        <v>4.9000000000000004</v>
      </c>
      <c r="I3" t="s">
        <v>4</v>
      </c>
      <c r="J3" s="1">
        <v>0.06</v>
      </c>
    </row>
    <row r="4" spans="1:10" x14ac:dyDescent="0.45">
      <c r="A4">
        <v>7.8E-2</v>
      </c>
      <c r="B4">
        <f t="shared" si="0"/>
        <v>22.7</v>
      </c>
      <c r="C4" s="1">
        <f t="shared" si="1"/>
        <v>7.5688766354341661</v>
      </c>
      <c r="E4">
        <v>12.2</v>
      </c>
      <c r="I4" t="s">
        <v>5</v>
      </c>
      <c r="J4" s="1">
        <f>J2/J3</f>
        <v>3.3333333333333333E-2</v>
      </c>
    </row>
    <row r="5" spans="1:10" x14ac:dyDescent="0.45">
      <c r="A5">
        <v>0.374</v>
      </c>
      <c r="B5">
        <f t="shared" si="0"/>
        <v>25.7</v>
      </c>
      <c r="C5" s="1">
        <f t="shared" si="1"/>
        <v>6.6127172357077386</v>
      </c>
      <c r="E5">
        <v>15.2</v>
      </c>
      <c r="I5" t="s">
        <v>9</v>
      </c>
      <c r="J5" s="1">
        <v>2.8E-5</v>
      </c>
    </row>
    <row r="6" spans="1:10" x14ac:dyDescent="0.45">
      <c r="A6">
        <v>0.77</v>
      </c>
      <c r="B6">
        <f t="shared" si="0"/>
        <v>28.9</v>
      </c>
      <c r="C6" s="1">
        <f t="shared" si="1"/>
        <v>5.8116166728919643</v>
      </c>
      <c r="E6">
        <v>18.399999999999999</v>
      </c>
    </row>
    <row r="7" spans="1:10" x14ac:dyDescent="0.45">
      <c r="A7">
        <v>1.1599999999999999</v>
      </c>
      <c r="B7">
        <f t="shared" si="0"/>
        <v>30.4</v>
      </c>
      <c r="C7" s="1">
        <f t="shared" si="1"/>
        <v>5.4941575168830408</v>
      </c>
      <c r="E7">
        <v>19.899999999999999</v>
      </c>
    </row>
    <row r="8" spans="1:10" x14ac:dyDescent="0.45">
      <c r="A8">
        <v>1.65</v>
      </c>
      <c r="B8">
        <f t="shared" si="0"/>
        <v>32.1</v>
      </c>
      <c r="C8" s="1">
        <f t="shared" si="1"/>
        <v>5.1702370945628235</v>
      </c>
      <c r="E8">
        <v>21.6</v>
      </c>
    </row>
    <row r="9" spans="1:10" x14ac:dyDescent="0.45">
      <c r="A9">
        <v>2.13</v>
      </c>
      <c r="B9">
        <f t="shared" si="0"/>
        <v>33.4</v>
      </c>
      <c r="C9" s="1">
        <f t="shared" si="1"/>
        <v>4.9447820912149032</v>
      </c>
      <c r="E9">
        <v>22.9</v>
      </c>
    </row>
    <row r="10" spans="1:10" x14ac:dyDescent="0.45">
      <c r="A10">
        <v>2.63</v>
      </c>
      <c r="B10">
        <f t="shared" si="0"/>
        <v>34.299999999999997</v>
      </c>
      <c r="C10" s="1">
        <f t="shared" si="1"/>
        <v>4.7987090917369617</v>
      </c>
      <c r="E10">
        <v>23.8</v>
      </c>
    </row>
    <row r="11" spans="1:10" x14ac:dyDescent="0.45">
      <c r="A11">
        <v>3.15</v>
      </c>
      <c r="B11">
        <f t="shared" si="0"/>
        <v>35.4</v>
      </c>
      <c r="C11" s="1">
        <f t="shared" si="1"/>
        <v>4.6302620735065911</v>
      </c>
      <c r="E11">
        <v>24.9</v>
      </c>
    </row>
    <row r="12" spans="1:10" x14ac:dyDescent="0.45">
      <c r="A12">
        <v>3.59</v>
      </c>
      <c r="B12">
        <f t="shared" si="0"/>
        <v>35.6</v>
      </c>
      <c r="C12" s="1">
        <f t="shared" si="1"/>
        <v>4.600753734766541</v>
      </c>
      <c r="E12">
        <v>25.1</v>
      </c>
    </row>
    <row r="13" spans="1:10" x14ac:dyDescent="0.45">
      <c r="A13">
        <v>4.1500000000000004</v>
      </c>
      <c r="B13">
        <f t="shared" si="0"/>
        <v>36.1</v>
      </c>
      <c r="C13" s="1">
        <f t="shared" si="1"/>
        <v>4.5284133475506305</v>
      </c>
      <c r="E13">
        <v>25.6</v>
      </c>
      <c r="F13">
        <v>27.3</v>
      </c>
    </row>
    <row r="14" spans="1:10" x14ac:dyDescent="0.45">
      <c r="A14">
        <v>4.6100000000000003</v>
      </c>
      <c r="B14">
        <f t="shared" si="0"/>
        <v>36.5</v>
      </c>
      <c r="C14" s="1">
        <f t="shared" si="1"/>
        <v>4.4719680262380512</v>
      </c>
      <c r="E14">
        <v>26</v>
      </c>
    </row>
    <row r="15" spans="1:10" x14ac:dyDescent="0.45">
      <c r="A15">
        <v>5.15</v>
      </c>
      <c r="B15">
        <f t="shared" si="0"/>
        <v>36.9</v>
      </c>
      <c r="C15" s="1">
        <f t="shared" si="1"/>
        <v>4.4167464517289972</v>
      </c>
      <c r="E15">
        <v>26.4</v>
      </c>
      <c r="F15">
        <v>4.9000000000000004</v>
      </c>
      <c r="G15">
        <v>26.8</v>
      </c>
    </row>
    <row r="16" spans="1:10" x14ac:dyDescent="0.45">
      <c r="A16">
        <v>5.67</v>
      </c>
      <c r="B16">
        <f t="shared" si="0"/>
        <v>37.4</v>
      </c>
      <c r="C16" s="1">
        <f t="shared" si="1"/>
        <v>4.3493805603660132</v>
      </c>
      <c r="E16">
        <v>26.9</v>
      </c>
    </row>
    <row r="17" spans="1:7" x14ac:dyDescent="0.45">
      <c r="A17">
        <v>6.32</v>
      </c>
      <c r="B17">
        <f t="shared" si="0"/>
        <v>38.200000000000003</v>
      </c>
      <c r="C17" s="1">
        <f t="shared" si="1"/>
        <v>4.2452632246050017</v>
      </c>
      <c r="E17">
        <v>27.7</v>
      </c>
      <c r="F17" cm="1">
        <f t="array" ref="F17:G17">LINEST(A13:A20, C13:C20)</f>
        <v>-8.360786551780695</v>
      </c>
      <c r="G17">
        <v>41.998169868621893</v>
      </c>
    </row>
    <row r="18" spans="1:7" x14ac:dyDescent="0.45">
      <c r="A18">
        <v>6.92</v>
      </c>
      <c r="B18">
        <f t="shared" si="0"/>
        <v>38.700000000000003</v>
      </c>
      <c r="C18" s="1">
        <f t="shared" si="1"/>
        <v>4.1823758157312652</v>
      </c>
      <c r="E18">
        <v>28.2</v>
      </c>
    </row>
    <row r="19" spans="1:7" x14ac:dyDescent="0.45">
      <c r="A19">
        <v>7.58</v>
      </c>
      <c r="B19">
        <f t="shared" si="0"/>
        <v>39.200000000000003</v>
      </c>
      <c r="C19" s="1">
        <f t="shared" si="1"/>
        <v>4.1210926774920624</v>
      </c>
      <c r="E19">
        <v>28.7</v>
      </c>
    </row>
    <row r="20" spans="1:7" x14ac:dyDescent="0.45">
      <c r="A20">
        <v>8.17</v>
      </c>
      <c r="B20">
        <f t="shared" si="0"/>
        <v>39.700000000000003</v>
      </c>
      <c r="C20" s="1">
        <f t="shared" si="1"/>
        <v>4.0613531951279036</v>
      </c>
      <c r="E20">
        <v>29.2</v>
      </c>
    </row>
    <row r="22" spans="1:7" x14ac:dyDescent="0.45">
      <c r="F22" t="s">
        <v>6</v>
      </c>
    </row>
    <row r="23" spans="1:7" x14ac:dyDescent="0.45">
      <c r="F23">
        <f>150000000/(1-0.3*0.3)*0.002/1000000</f>
        <v>0.32967032967032961</v>
      </c>
    </row>
    <row r="24" spans="1:7" x14ac:dyDescent="0.45">
      <c r="F24">
        <f>150000000/(1-0.3*0.3)*G24/1000000</f>
        <v>3.8827095651506172</v>
      </c>
      <c r="G24" s="1">
        <f>2*SQRT(J2*J3)/(SQRT(J4)*ASINH(1/J4)+1/SQRT(J4)*ASINH(J4))</f>
        <v>2.3555104695247079E-2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6465-6C35-4826-AD12-94FFA53CF310}">
  <dimension ref="A1:J24"/>
  <sheetViews>
    <sheetView workbookViewId="0">
      <selection activeCell="C2" sqref="C2:C19"/>
    </sheetView>
  </sheetViews>
  <sheetFormatPr defaultRowHeight="14.25" x14ac:dyDescent="0.45"/>
  <sheetData>
    <row r="1" spans="1:10" x14ac:dyDescent="0.45">
      <c r="A1" t="s">
        <v>0</v>
      </c>
      <c r="B1" t="s">
        <v>7</v>
      </c>
      <c r="C1" t="s">
        <v>2</v>
      </c>
      <c r="E1" t="s">
        <v>1</v>
      </c>
    </row>
    <row r="2" spans="1:10" x14ac:dyDescent="0.45">
      <c r="A2">
        <v>1.1000000000000001E-3</v>
      </c>
      <c r="B2">
        <f t="shared" ref="B2:B19" si="0">E2+$G$2</f>
        <v>11</v>
      </c>
      <c r="C2" s="1">
        <f>1000000*(8.8541878128*(7*0.002*0.0015) / B2 - ($J$5 / 45))</f>
        <v>16.281227238577777</v>
      </c>
      <c r="E2">
        <v>0.5</v>
      </c>
      <c r="G2">
        <v>10.5</v>
      </c>
      <c r="I2" t="s">
        <v>3</v>
      </c>
      <c r="J2" s="1">
        <v>2E-3</v>
      </c>
    </row>
    <row r="3" spans="1:10" x14ac:dyDescent="0.45">
      <c r="A3">
        <v>2.2620000000000001E-3</v>
      </c>
      <c r="B3">
        <f t="shared" si="0"/>
        <v>11.5</v>
      </c>
      <c r="C3" s="1">
        <f t="shared" ref="C3:C19" si="1">1000000*(8.8541878128*(7*0.002*0.0015) / B3 - ($J$5 / 45))</f>
        <v>15.546294653325603</v>
      </c>
      <c r="E3">
        <v>1</v>
      </c>
      <c r="I3" t="s">
        <v>4</v>
      </c>
      <c r="J3" s="1">
        <v>0.06</v>
      </c>
    </row>
    <row r="4" spans="1:10" x14ac:dyDescent="0.45">
      <c r="A4">
        <v>5.0000000000000001E-3</v>
      </c>
      <c r="B4">
        <f t="shared" si="0"/>
        <v>15.1</v>
      </c>
      <c r="C4" s="1">
        <f t="shared" si="1"/>
        <v>11.691548908161884</v>
      </c>
      <c r="E4">
        <v>4.5999999999999996</v>
      </c>
      <c r="I4" t="s">
        <v>5</v>
      </c>
      <c r="J4" s="1">
        <f>J2/J3</f>
        <v>3.3333333333333333E-2</v>
      </c>
    </row>
    <row r="5" spans="1:10" x14ac:dyDescent="0.45">
      <c r="A5">
        <v>0.14399999999999999</v>
      </c>
      <c r="B5">
        <f t="shared" si="0"/>
        <v>24.8</v>
      </c>
      <c r="C5" s="1">
        <f t="shared" si="1"/>
        <v>6.8752755224874544</v>
      </c>
      <c r="E5">
        <v>14.3</v>
      </c>
      <c r="I5" t="s">
        <v>9</v>
      </c>
      <c r="J5" s="1">
        <v>2.8E-5</v>
      </c>
    </row>
    <row r="6" spans="1:10" x14ac:dyDescent="0.45">
      <c r="A6">
        <v>0.52</v>
      </c>
      <c r="B6">
        <f t="shared" si="0"/>
        <v>26.1</v>
      </c>
      <c r="C6" s="1">
        <f t="shared" si="1"/>
        <v>6.5018369375019152</v>
      </c>
      <c r="E6">
        <v>15.6</v>
      </c>
    </row>
    <row r="7" spans="1:10" x14ac:dyDescent="0.45">
      <c r="A7">
        <v>0.94</v>
      </c>
      <c r="B7">
        <f t="shared" si="0"/>
        <v>28.9</v>
      </c>
      <c r="C7" s="1">
        <f t="shared" si="1"/>
        <v>5.8116166728919643</v>
      </c>
      <c r="E7">
        <v>18.399999999999999</v>
      </c>
    </row>
    <row r="8" spans="1:10" x14ac:dyDescent="0.45">
      <c r="A8">
        <v>1.35</v>
      </c>
      <c r="B8">
        <f t="shared" si="0"/>
        <v>29.9</v>
      </c>
      <c r="C8" s="1">
        <f t="shared" si="1"/>
        <v>5.5964381145269417</v>
      </c>
      <c r="E8">
        <v>19.399999999999999</v>
      </c>
    </row>
    <row r="9" spans="1:10" x14ac:dyDescent="0.45">
      <c r="A9">
        <v>1.9</v>
      </c>
      <c r="B9">
        <f t="shared" si="0"/>
        <v>32.299999999999997</v>
      </c>
      <c r="C9" s="1">
        <f t="shared" si="1"/>
        <v>5.1343704734062614</v>
      </c>
      <c r="E9">
        <v>21.8</v>
      </c>
    </row>
    <row r="10" spans="1:10" x14ac:dyDescent="0.45">
      <c r="A10">
        <v>2.2200000000000002</v>
      </c>
      <c r="B10">
        <f t="shared" si="0"/>
        <v>33.799999999999997</v>
      </c>
      <c r="C10" s="1">
        <f t="shared" si="1"/>
        <v>4.8789003833635762</v>
      </c>
      <c r="E10">
        <v>23.3</v>
      </c>
    </row>
    <row r="11" spans="1:10" x14ac:dyDescent="0.45">
      <c r="A11">
        <v>2.78</v>
      </c>
      <c r="B11">
        <f t="shared" si="0"/>
        <v>35.799999999999997</v>
      </c>
      <c r="C11" s="1">
        <f t="shared" si="1"/>
        <v>4.5715750981353196</v>
      </c>
      <c r="E11">
        <v>25.3</v>
      </c>
    </row>
    <row r="12" spans="1:10" x14ac:dyDescent="0.45">
      <c r="A12">
        <v>3.3</v>
      </c>
      <c r="B12">
        <f t="shared" si="0"/>
        <v>36.299999999999997</v>
      </c>
      <c r="C12" s="1">
        <f t="shared" si="1"/>
        <v>4.5000351901414142</v>
      </c>
      <c r="E12">
        <v>25.8</v>
      </c>
    </row>
    <row r="13" spans="1:10" x14ac:dyDescent="0.45">
      <c r="A13">
        <v>3.76</v>
      </c>
      <c r="B13">
        <f t="shared" si="0"/>
        <v>37</v>
      </c>
      <c r="C13" s="1">
        <f t="shared" si="1"/>
        <v>4.4031276174750742</v>
      </c>
      <c r="E13">
        <v>26.5</v>
      </c>
      <c r="F13">
        <v>27.3</v>
      </c>
    </row>
    <row r="14" spans="1:10" x14ac:dyDescent="0.45">
      <c r="A14">
        <v>4.3</v>
      </c>
      <c r="B14">
        <f t="shared" si="0"/>
        <v>38</v>
      </c>
      <c r="C14" s="1">
        <f t="shared" si="1"/>
        <v>4.2708815690619879</v>
      </c>
      <c r="E14">
        <v>27.5</v>
      </c>
    </row>
    <row r="15" spans="1:10" x14ac:dyDescent="0.45">
      <c r="A15">
        <v>5.4</v>
      </c>
      <c r="B15">
        <f t="shared" si="0"/>
        <v>38.9</v>
      </c>
      <c r="C15" s="1">
        <f t="shared" si="1"/>
        <v>4.1576735121942301</v>
      </c>
      <c r="E15">
        <v>28.4</v>
      </c>
      <c r="F15">
        <v>4.9000000000000004</v>
      </c>
      <c r="G15">
        <v>26.8</v>
      </c>
    </row>
    <row r="16" spans="1:10" x14ac:dyDescent="0.45">
      <c r="A16">
        <v>6.01</v>
      </c>
      <c r="B16">
        <f t="shared" si="0"/>
        <v>39.1</v>
      </c>
      <c r="C16" s="1">
        <f t="shared" si="1"/>
        <v>4.1332239176447851</v>
      </c>
      <c r="E16">
        <v>28.6</v>
      </c>
    </row>
    <row r="17" spans="1:7" x14ac:dyDescent="0.45">
      <c r="A17">
        <v>6.7</v>
      </c>
      <c r="B17">
        <f t="shared" si="0"/>
        <v>39.4</v>
      </c>
      <c r="C17" s="1">
        <f t="shared" si="1"/>
        <v>4.0970149368843769</v>
      </c>
      <c r="E17">
        <v>28.9</v>
      </c>
      <c r="F17" cm="1">
        <f t="array" ref="F17:G17">LINEST(A13:A19, C13:C19)</f>
        <v>-9.0267784861858491</v>
      </c>
      <c r="G17">
        <v>43.282602375055042</v>
      </c>
    </row>
    <row r="18" spans="1:7" x14ac:dyDescent="0.45">
      <c r="A18">
        <v>7.3</v>
      </c>
      <c r="B18">
        <f t="shared" si="0"/>
        <v>40</v>
      </c>
      <c r="C18" s="1">
        <f t="shared" si="1"/>
        <v>4.0262263794977775</v>
      </c>
      <c r="E18">
        <v>29.5</v>
      </c>
    </row>
    <row r="19" spans="1:7" x14ac:dyDescent="0.45">
      <c r="A19">
        <v>8.02</v>
      </c>
      <c r="B19">
        <f t="shared" si="0"/>
        <v>41.3</v>
      </c>
      <c r="C19" s="1">
        <f t="shared" si="1"/>
        <v>3.8799071741167608</v>
      </c>
      <c r="E19">
        <v>30.8</v>
      </c>
    </row>
    <row r="22" spans="1:7" x14ac:dyDescent="0.45">
      <c r="F22" t="s">
        <v>6</v>
      </c>
    </row>
    <row r="23" spans="1:7" x14ac:dyDescent="0.45">
      <c r="F23">
        <f>150000000/(1-0.3*0.3)*0.002/1000000</f>
        <v>0.32967032967032961</v>
      </c>
    </row>
    <row r="24" spans="1:7" x14ac:dyDescent="0.45">
      <c r="F24">
        <f>150000000/(1-0.3*0.3)*G24/1000000</f>
        <v>3.8827095651506172</v>
      </c>
      <c r="G24" s="1">
        <f>2*SQRT(J2*J3)/(SQRT(J4)*ASINH(1/J4)+1/SQRT(J4)*ASINH(J4))</f>
        <v>2.3555104695247079E-2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75FC-3ECA-49A8-B38B-8B46FF7CDB74}">
  <dimension ref="A1:I24"/>
  <sheetViews>
    <sheetView workbookViewId="0">
      <selection activeCell="C2" sqref="C2:C17"/>
    </sheetView>
  </sheetViews>
  <sheetFormatPr defaultRowHeight="14.25" x14ac:dyDescent="0.45"/>
  <cols>
    <col min="3" max="3" width="9.265625" bestFit="1" customWidth="1"/>
  </cols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0.13600000000000001</v>
      </c>
      <c r="B2">
        <v>24.5</v>
      </c>
      <c r="C2" s="1">
        <f>1000000*(8.8541878128*(7*$I$2*0.0015) / B2 - ($I$5 / 45))</f>
        <v>8.8644075772063502</v>
      </c>
      <c r="H2" t="s">
        <v>3</v>
      </c>
      <c r="I2" s="1">
        <v>2.5000000000000001E-3</v>
      </c>
    </row>
    <row r="3" spans="1:9" x14ac:dyDescent="0.45">
      <c r="A3">
        <v>0.504</v>
      </c>
      <c r="B3">
        <v>29.4</v>
      </c>
      <c r="C3" s="1">
        <f t="shared" ref="C3:C17" si="0">1000000*(8.8541878128*(7*$I$2*0.0015) / B3 - ($I$5 / 45))</f>
        <v>7.2833026106349212</v>
      </c>
      <c r="D3">
        <f>(A4-A2)/(C2-C4)</f>
        <v>0.41470034973738973</v>
      </c>
      <c r="H3" t="s">
        <v>4</v>
      </c>
      <c r="I3" s="1">
        <v>0.06</v>
      </c>
    </row>
    <row r="4" spans="1:9" x14ac:dyDescent="0.45">
      <c r="A4">
        <v>1.21</v>
      </c>
      <c r="B4">
        <v>33.700000000000003</v>
      </c>
      <c r="C4" s="1">
        <f t="shared" si="0"/>
        <v>6.2745857921991428</v>
      </c>
      <c r="D4">
        <f t="shared" ref="D4:D16" si="1">(A5-A3)/(C3-C5)</f>
        <v>0.81192163738316825</v>
      </c>
      <c r="H4" t="s">
        <v>5</v>
      </c>
      <c r="I4" s="1">
        <f>I2/I3</f>
        <v>4.1666666666666671E-2</v>
      </c>
    </row>
    <row r="5" spans="1:9" x14ac:dyDescent="0.45">
      <c r="A5">
        <v>1.5</v>
      </c>
      <c r="B5">
        <v>34.799999999999997</v>
      </c>
      <c r="C5" s="1">
        <f t="shared" si="0"/>
        <v>6.0565832400191582</v>
      </c>
      <c r="D5">
        <f t="shared" si="1"/>
        <v>3.2470335001119448</v>
      </c>
      <c r="H5" t="s">
        <v>9</v>
      </c>
      <c r="I5" s="1">
        <v>2.8E-5</v>
      </c>
    </row>
    <row r="6" spans="1:9" x14ac:dyDescent="0.45">
      <c r="A6">
        <v>1.98</v>
      </c>
      <c r="B6">
        <v>34.9</v>
      </c>
      <c r="C6" s="1">
        <f t="shared" si="0"/>
        <v>6.0374462616173199</v>
      </c>
      <c r="D6">
        <f t="shared" si="1"/>
        <v>2.2975665464060753</v>
      </c>
    </row>
    <row r="7" spans="1:9" x14ac:dyDescent="0.45">
      <c r="A7">
        <v>2.4900000000000002</v>
      </c>
      <c r="B7">
        <v>37.200000000000003</v>
      </c>
      <c r="C7" s="1">
        <f t="shared" si="0"/>
        <v>5.625692565035842</v>
      </c>
      <c r="D7">
        <f t="shared" si="1"/>
        <v>1.9572269686171881</v>
      </c>
    </row>
    <row r="8" spans="1:9" x14ac:dyDescent="0.45">
      <c r="A8">
        <v>2.98</v>
      </c>
      <c r="B8">
        <v>37.799999999999997</v>
      </c>
      <c r="C8" s="1">
        <f t="shared" si="0"/>
        <v>5.5265193144444451</v>
      </c>
      <c r="D8">
        <f t="shared" si="1"/>
        <v>4.8348438377068756</v>
      </c>
    </row>
    <row r="9" spans="1:9" x14ac:dyDescent="0.45">
      <c r="A9">
        <v>3.51</v>
      </c>
      <c r="B9">
        <v>38.5</v>
      </c>
      <c r="C9" s="1">
        <f t="shared" si="0"/>
        <v>5.4147240137777777</v>
      </c>
      <c r="D9">
        <f t="shared" si="1"/>
        <v>5.028020744674218</v>
      </c>
    </row>
    <row r="10" spans="1:9" x14ac:dyDescent="0.45">
      <c r="A10">
        <v>4.16</v>
      </c>
      <c r="B10">
        <v>39.299999999999997</v>
      </c>
      <c r="C10" s="1">
        <f t="shared" si="0"/>
        <v>5.2918345229686183</v>
      </c>
      <c r="D10">
        <f t="shared" si="1"/>
        <v>5.6099003275381705</v>
      </c>
    </row>
    <row r="11" spans="1:9" x14ac:dyDescent="0.45">
      <c r="A11">
        <v>4.78</v>
      </c>
      <c r="B11">
        <v>40</v>
      </c>
      <c r="C11" s="1">
        <f t="shared" si="0"/>
        <v>5.188338529927778</v>
      </c>
      <c r="D11">
        <f t="shared" si="1"/>
        <v>6.8102949165962983</v>
      </c>
    </row>
    <row r="12" spans="1:9" x14ac:dyDescent="0.45">
      <c r="A12">
        <v>5.83</v>
      </c>
      <c r="B12">
        <v>41</v>
      </c>
      <c r="C12" s="1">
        <f t="shared" si="0"/>
        <v>5.0466175359729002</v>
      </c>
      <c r="D12">
        <f t="shared" si="1"/>
        <v>7.8586792705742035</v>
      </c>
    </row>
    <row r="13" spans="1:9" x14ac:dyDescent="0.45">
      <c r="A13">
        <v>6.11</v>
      </c>
      <c r="B13">
        <v>41.2</v>
      </c>
      <c r="C13" s="1">
        <f t="shared" si="0"/>
        <v>5.0190988963700107</v>
      </c>
      <c r="D13">
        <f t="shared" si="1"/>
        <v>14.328034800403941</v>
      </c>
      <c r="E13">
        <v>27.3</v>
      </c>
    </row>
    <row r="14" spans="1:9" x14ac:dyDescent="0.45">
      <c r="A14">
        <v>6.42</v>
      </c>
      <c r="B14">
        <v>41.3</v>
      </c>
      <c r="C14" s="1">
        <f t="shared" si="0"/>
        <v>5.005439523201507</v>
      </c>
      <c r="D14">
        <f t="shared" si="1"/>
        <v>13.601069392615299</v>
      </c>
    </row>
    <row r="15" spans="1:9" x14ac:dyDescent="0.45">
      <c r="A15">
        <v>7.03</v>
      </c>
      <c r="B15">
        <v>41.7</v>
      </c>
      <c r="C15" s="1">
        <f t="shared" si="0"/>
        <v>4.951457156338928</v>
      </c>
      <c r="D15">
        <f t="shared" si="1"/>
        <v>8.4246195374948449</v>
      </c>
      <c r="E15">
        <v>4.9000000000000004</v>
      </c>
      <c r="F15">
        <v>26.8</v>
      </c>
    </row>
    <row r="16" spans="1:9" x14ac:dyDescent="0.45">
      <c r="A16">
        <v>7.65</v>
      </c>
      <c r="B16">
        <v>42.4</v>
      </c>
      <c r="C16" s="1">
        <f t="shared" si="0"/>
        <v>4.8594388647117404</v>
      </c>
      <c r="D16">
        <f t="shared" si="1"/>
        <v>5.2138808184373922</v>
      </c>
    </row>
    <row r="17" spans="1:6" x14ac:dyDescent="0.45">
      <c r="A17">
        <v>8.36</v>
      </c>
      <c r="B17">
        <v>43.7</v>
      </c>
      <c r="C17" s="1">
        <f t="shared" si="0"/>
        <v>4.6963688552606149</v>
      </c>
      <c r="E17" cm="1">
        <f t="array" ref="E17:F17">LINEST(A10:A17, C10:C17)</f>
        <v>-7.5328978046498971</v>
      </c>
      <c r="F17">
        <v>44.012161741476362</v>
      </c>
    </row>
    <row r="18" spans="1:6" x14ac:dyDescent="0.45">
      <c r="C18" s="1"/>
    </row>
    <row r="22" spans="1:6" x14ac:dyDescent="0.45">
      <c r="E22" t="s">
        <v>6</v>
      </c>
    </row>
    <row r="23" spans="1:6" x14ac:dyDescent="0.45">
      <c r="E23">
        <f>150000000/(1-0.3*0.3)*0.00635/1000000</f>
        <v>1.0467032967032965</v>
      </c>
    </row>
    <row r="24" spans="1:6" x14ac:dyDescent="0.45">
      <c r="E24">
        <f>150000000/(1-0.3*0.3)*F24/1000000</f>
        <v>4.0605248079601637</v>
      </c>
      <c r="F24" s="1">
        <f>2*SQRT(I2*I3)/(SQRT(I4)*ASINH(1/I4)+1/SQRT(I4)*ASINH(I4))</f>
        <v>2.4633850501624994E-2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EFA8-7919-4737-B844-77D4CBD54505}">
  <dimension ref="A1:I24"/>
  <sheetViews>
    <sheetView workbookViewId="0">
      <selection activeCell="C2" sqref="C2:C16"/>
    </sheetView>
  </sheetViews>
  <sheetFormatPr defaultRowHeight="14.25" x14ac:dyDescent="0.45"/>
  <cols>
    <col min="3" max="3" width="9.265625" bestFit="1" customWidth="1"/>
  </cols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0.24</v>
      </c>
      <c r="B2">
        <v>24</v>
      </c>
      <c r="C2" s="1">
        <f>1000000*(8.8541878128*(7*$I$2*0.0015) / B2 - ($I$5 / 45))</f>
        <v>9.062045698027779</v>
      </c>
      <c r="H2" t="s">
        <v>3</v>
      </c>
      <c r="I2" s="1">
        <v>2.5000000000000001E-3</v>
      </c>
    </row>
    <row r="3" spans="1:9" x14ac:dyDescent="0.45">
      <c r="A3">
        <v>0.56000000000000005</v>
      </c>
      <c r="B3">
        <v>28.9</v>
      </c>
      <c r="C3" s="1">
        <f t="shared" ref="C3:C16" si="0">1000000*(8.8541878128*(7*$I$2*0.0015) / B3 - ($I$5 / 45))</f>
        <v>7.4200763966705123</v>
      </c>
      <c r="D3">
        <f>(A4-A2)/(C2-C4)</f>
        <v>0.34681977820448479</v>
      </c>
      <c r="H3" t="s">
        <v>4</v>
      </c>
      <c r="I3" s="1">
        <v>0.06</v>
      </c>
    </row>
    <row r="4" spans="1:9" x14ac:dyDescent="0.45">
      <c r="A4">
        <v>0.99</v>
      </c>
      <c r="B4">
        <v>30.9</v>
      </c>
      <c r="C4" s="1">
        <f t="shared" si="0"/>
        <v>6.8995392692340891</v>
      </c>
      <c r="D4">
        <f t="shared" ref="D4:D13" si="1">(A5-A3)/(C3-C5)</f>
        <v>0.98078985273177688</v>
      </c>
      <c r="H4" t="s">
        <v>5</v>
      </c>
      <c r="I4" s="1">
        <f>I2/I3</f>
        <v>4.1666666666666671E-2</v>
      </c>
    </row>
    <row r="5" spans="1:9" x14ac:dyDescent="0.45">
      <c r="A5">
        <v>1.54</v>
      </c>
      <c r="B5">
        <v>33</v>
      </c>
      <c r="C5" s="1">
        <f t="shared" si="0"/>
        <v>6.4208817197777783</v>
      </c>
      <c r="D5">
        <f t="shared" si="1"/>
        <v>1.5431588385854798</v>
      </c>
      <c r="H5" t="s">
        <v>9</v>
      </c>
      <c r="I5" s="1">
        <v>2.8E-5</v>
      </c>
    </row>
    <row r="6" spans="1:9" x14ac:dyDescent="0.45">
      <c r="A6">
        <v>2.11</v>
      </c>
      <c r="B6">
        <v>34.200000000000003</v>
      </c>
      <c r="C6" s="1">
        <f t="shared" si="0"/>
        <v>6.1737552656725141</v>
      </c>
      <c r="D6">
        <f t="shared" si="1"/>
        <v>2.0520698395892847</v>
      </c>
    </row>
    <row r="7" spans="1:9" x14ac:dyDescent="0.45">
      <c r="A7">
        <v>2.89</v>
      </c>
      <c r="B7">
        <v>36.4</v>
      </c>
      <c r="C7" s="1">
        <f t="shared" si="0"/>
        <v>5.7630093735470096</v>
      </c>
      <c r="D7">
        <f t="shared" si="1"/>
        <v>2.462515514480355</v>
      </c>
    </row>
    <row r="8" spans="1:9" x14ac:dyDescent="0.45">
      <c r="A8">
        <v>3.25</v>
      </c>
      <c r="B8">
        <v>36.700000000000003</v>
      </c>
      <c r="C8" s="1">
        <f t="shared" si="0"/>
        <v>5.7108140199031183</v>
      </c>
      <c r="D8">
        <f t="shared" si="1"/>
        <v>3.9257255262714943</v>
      </c>
    </row>
    <row r="9" spans="1:9" x14ac:dyDescent="0.45">
      <c r="A9">
        <v>3.69</v>
      </c>
      <c r="B9">
        <v>37.6</v>
      </c>
      <c r="C9" s="1">
        <f t="shared" si="0"/>
        <v>5.5592253864479906</v>
      </c>
      <c r="D9">
        <f t="shared" si="1"/>
        <v>3.3362229813390449</v>
      </c>
    </row>
    <row r="10" spans="1:9" x14ac:dyDescent="0.45">
      <c r="A10">
        <v>4.29</v>
      </c>
      <c r="B10">
        <v>38.6</v>
      </c>
      <c r="C10" s="1">
        <f t="shared" si="0"/>
        <v>5.3990842566896955</v>
      </c>
      <c r="D10">
        <f t="shared" si="1"/>
        <v>4.2492743333818002</v>
      </c>
    </row>
    <row r="11" spans="1:9" x14ac:dyDescent="0.45">
      <c r="A11">
        <v>4.8899999999999997</v>
      </c>
      <c r="B11">
        <v>39.4</v>
      </c>
      <c r="C11" s="1">
        <f t="shared" si="0"/>
        <v>5.2768242266610264</v>
      </c>
      <c r="D11">
        <f t="shared" si="1"/>
        <v>6.623222831311657</v>
      </c>
    </row>
    <row r="12" spans="1:9" x14ac:dyDescent="0.45">
      <c r="A12">
        <v>5.3949999999999996</v>
      </c>
      <c r="B12">
        <v>39.700000000000003</v>
      </c>
      <c r="C12" s="1">
        <f t="shared" si="0"/>
        <v>5.2322470494654345</v>
      </c>
      <c r="D12">
        <f t="shared" si="1"/>
        <v>10.307174308062981</v>
      </c>
    </row>
    <row r="13" spans="1:9" x14ac:dyDescent="0.45">
      <c r="A13">
        <v>6.1</v>
      </c>
      <c r="B13">
        <v>40.200000000000003</v>
      </c>
      <c r="C13" s="1">
        <f t="shared" si="0"/>
        <v>5.1594302674792694</v>
      </c>
      <c r="D13">
        <f t="shared" si="1"/>
        <v>7.2484794147304834</v>
      </c>
      <c r="E13">
        <v>27.3</v>
      </c>
    </row>
    <row r="14" spans="1:9" x14ac:dyDescent="0.45">
      <c r="A14">
        <v>6.94</v>
      </c>
      <c r="B14">
        <v>41.2</v>
      </c>
      <c r="C14" s="1">
        <f t="shared" si="0"/>
        <v>5.0190988963700107</v>
      </c>
    </row>
    <row r="15" spans="1:9" x14ac:dyDescent="0.45">
      <c r="A15">
        <v>7.91</v>
      </c>
      <c r="B15">
        <v>41.7</v>
      </c>
      <c r="C15" s="1">
        <f t="shared" si="0"/>
        <v>4.951457156338928</v>
      </c>
      <c r="E15">
        <v>4.9000000000000004</v>
      </c>
      <c r="F15">
        <v>26.8</v>
      </c>
    </row>
    <row r="16" spans="1:9" x14ac:dyDescent="0.45">
      <c r="A16">
        <v>8.6</v>
      </c>
      <c r="B16">
        <v>42.3</v>
      </c>
      <c r="C16" s="1">
        <f t="shared" si="0"/>
        <v>4.8723978743735223</v>
      </c>
    </row>
    <row r="17" spans="3:6" x14ac:dyDescent="0.45">
      <c r="C17" s="1"/>
      <c r="E17" cm="1">
        <f t="array" ref="E17:F17">LINEST(A10:A14, C10:C14)</f>
        <v>-7.275177314757415</v>
      </c>
      <c r="F17">
        <v>43.480051344481964</v>
      </c>
    </row>
    <row r="18" spans="3:6" x14ac:dyDescent="0.45">
      <c r="C18" s="1"/>
    </row>
    <row r="22" spans="3:6" x14ac:dyDescent="0.45">
      <c r="E22" t="s">
        <v>6</v>
      </c>
    </row>
    <row r="23" spans="3:6" x14ac:dyDescent="0.45">
      <c r="E23">
        <f>150000000/(1-0.3*0.3)*0.00635/1000000</f>
        <v>1.0467032967032965</v>
      </c>
    </row>
    <row r="24" spans="3:6" x14ac:dyDescent="0.45">
      <c r="E24">
        <f>150000000/(1-0.3*0.3)*F24/1000000</f>
        <v>4.0605248079601637</v>
      </c>
      <c r="F24" s="1">
        <f>2*SQRT(I2*I3)/(SQRT(I4)*ASINH(1/I4)+1/SQRT(I4)*ASINH(I4))</f>
        <v>2.4633850501624994E-2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B54C-E297-44A6-971E-45077F5B880E}">
  <dimension ref="A1:I24"/>
  <sheetViews>
    <sheetView workbookViewId="0">
      <selection activeCell="C2" sqref="C2:C15"/>
    </sheetView>
  </sheetViews>
  <sheetFormatPr defaultRowHeight="14.25" x14ac:dyDescent="0.45"/>
  <cols>
    <col min="3" max="3" width="9.265625" bestFit="1" customWidth="1"/>
  </cols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7.6999999999999999E-2</v>
      </c>
      <c r="B2">
        <v>24.2</v>
      </c>
      <c r="C2" s="1">
        <f>1000000*(8.8541878128*(7*$I$2*0.0015) / B2 - ($I$5 / 45))</f>
        <v>10.90285695559596</v>
      </c>
      <c r="H2" t="s">
        <v>3</v>
      </c>
      <c r="I2" s="1">
        <v>3.0000000000000001E-3</v>
      </c>
    </row>
    <row r="3" spans="1:9" x14ac:dyDescent="0.45">
      <c r="A3">
        <v>0.51700000000000002</v>
      </c>
      <c r="B3">
        <v>33.9</v>
      </c>
      <c r="C3" s="1">
        <f t="shared" ref="C3:C15" si="0">1000000*(8.8541878128*(7*$I$2*0.0015) / B3 - ($I$5 / 45))</f>
        <v>7.6051204356892805</v>
      </c>
      <c r="D3">
        <f>(A4-A2)/(C2-C4)</f>
        <v>0.21360629453223337</v>
      </c>
      <c r="H3" t="s">
        <v>4</v>
      </c>
      <c r="I3" s="1">
        <v>0.06</v>
      </c>
    </row>
    <row r="4" spans="1:9" x14ac:dyDescent="0.45">
      <c r="A4">
        <v>0.93300000000000005</v>
      </c>
      <c r="B4">
        <v>37.1</v>
      </c>
      <c r="C4" s="1">
        <f t="shared" si="0"/>
        <v>6.8954844112872102</v>
      </c>
      <c r="D4">
        <f t="shared" ref="D4:D13" si="1">(A5-A3)/(C3-C5)</f>
        <v>1.0007405581866229</v>
      </c>
      <c r="H4" t="s">
        <v>5</v>
      </c>
      <c r="I4" s="1">
        <f>I2/I3</f>
        <v>0.05</v>
      </c>
    </row>
    <row r="5" spans="1:9" x14ac:dyDescent="0.45">
      <c r="A5">
        <v>1.79</v>
      </c>
      <c r="B5">
        <v>40.1</v>
      </c>
      <c r="C5" s="1">
        <f t="shared" si="0"/>
        <v>6.3330624686306445</v>
      </c>
      <c r="D5">
        <f t="shared" si="1"/>
        <v>1.5073807830058739</v>
      </c>
      <c r="H5" t="s">
        <v>9</v>
      </c>
      <c r="I5" s="1">
        <v>2.8E-5</v>
      </c>
    </row>
    <row r="6" spans="1:9" x14ac:dyDescent="0.45">
      <c r="A6">
        <v>2.11</v>
      </c>
      <c r="B6">
        <v>41.4</v>
      </c>
      <c r="C6" s="1">
        <f t="shared" si="0"/>
        <v>6.1146598092560369</v>
      </c>
      <c r="D6">
        <f t="shared" si="1"/>
        <v>2.2689324923429299</v>
      </c>
    </row>
    <row r="7" spans="1:9" x14ac:dyDescent="0.45">
      <c r="A7">
        <v>2.82</v>
      </c>
      <c r="B7">
        <v>42.9</v>
      </c>
      <c r="C7" s="1">
        <f t="shared" si="0"/>
        <v>5.8791044934700842</v>
      </c>
      <c r="D7">
        <f t="shared" si="1"/>
        <v>2.4165481782123064</v>
      </c>
    </row>
    <row r="8" spans="1:9" x14ac:dyDescent="0.45">
      <c r="A8">
        <v>3.21</v>
      </c>
      <c r="B8">
        <v>44.4</v>
      </c>
      <c r="C8" s="1">
        <f t="shared" si="0"/>
        <v>5.659465077399398</v>
      </c>
      <c r="D8">
        <f t="shared" si="1"/>
        <v>2.222667210279857</v>
      </c>
    </row>
    <row r="9" spans="1:9" x14ac:dyDescent="0.45">
      <c r="A9">
        <v>3.91</v>
      </c>
      <c r="B9">
        <v>46.4</v>
      </c>
      <c r="C9" s="1">
        <f t="shared" si="0"/>
        <v>5.3887026937950182</v>
      </c>
      <c r="D9">
        <f t="shared" si="1"/>
        <v>3.1780520837080273</v>
      </c>
    </row>
    <row r="10" spans="1:9" x14ac:dyDescent="0.45">
      <c r="A10">
        <v>4.63</v>
      </c>
      <c r="B10">
        <v>47.8</v>
      </c>
      <c r="C10" s="1">
        <f t="shared" si="0"/>
        <v>5.2126504996020451</v>
      </c>
      <c r="D10">
        <f t="shared" si="1"/>
        <v>5.5861921896090143</v>
      </c>
    </row>
    <row r="11" spans="1:9" x14ac:dyDescent="0.45">
      <c r="A11">
        <v>5.43</v>
      </c>
      <c r="B11">
        <v>48.6</v>
      </c>
      <c r="C11" s="1">
        <f t="shared" si="0"/>
        <v>5.1166032119999985</v>
      </c>
      <c r="D11">
        <f t="shared" si="1"/>
        <v>4.8868736429559432</v>
      </c>
    </row>
    <row r="12" spans="1:9" x14ac:dyDescent="0.45">
      <c r="A12">
        <v>5.83</v>
      </c>
      <c r="B12">
        <v>49.9</v>
      </c>
      <c r="C12" s="1">
        <f t="shared" si="0"/>
        <v>4.9670947337537283</v>
      </c>
      <c r="D12">
        <f t="shared" si="1"/>
        <v>4.2763105937419201</v>
      </c>
    </row>
    <row r="13" spans="1:9" x14ac:dyDescent="0.45">
      <c r="A13">
        <v>6.4</v>
      </c>
      <c r="B13">
        <v>50.6</v>
      </c>
      <c r="C13" s="1">
        <f t="shared" si="0"/>
        <v>4.889772167169081</v>
      </c>
      <c r="D13">
        <f t="shared" si="1"/>
        <v>6.0502064931162503</v>
      </c>
      <c r="E13">
        <v>27.3</v>
      </c>
    </row>
    <row r="14" spans="1:9" x14ac:dyDescent="0.45">
      <c r="A14">
        <v>7.32</v>
      </c>
      <c r="B14">
        <v>52.2</v>
      </c>
      <c r="C14" s="1">
        <f t="shared" si="0"/>
        <v>4.72082214757088</v>
      </c>
    </row>
    <row r="15" spans="1:9" x14ac:dyDescent="0.45">
      <c r="A15">
        <v>8.33</v>
      </c>
      <c r="B15">
        <v>53.3</v>
      </c>
      <c r="C15" s="1">
        <f t="shared" si="0"/>
        <v>4.6105529391886586</v>
      </c>
      <c r="E15">
        <v>4.9000000000000004</v>
      </c>
      <c r="F15">
        <v>26.8</v>
      </c>
    </row>
    <row r="16" spans="1:9" x14ac:dyDescent="0.45">
      <c r="C16" s="1"/>
    </row>
    <row r="17" spans="3:6" x14ac:dyDescent="0.45">
      <c r="C17" s="1"/>
      <c r="E17" cm="1">
        <f t="array" ref="E17:F17">LINEST(A10:A14, C10:C14)</f>
        <v>-5.2075869469654021</v>
      </c>
      <c r="F17">
        <v>31.863014001257788</v>
      </c>
    </row>
    <row r="18" spans="3:6" x14ac:dyDescent="0.45">
      <c r="C18" s="1"/>
    </row>
    <row r="22" spans="3:6" x14ac:dyDescent="0.45">
      <c r="E22" t="s">
        <v>6</v>
      </c>
    </row>
    <row r="23" spans="3:6" x14ac:dyDescent="0.45">
      <c r="E23">
        <f>150000000/(1-0.3*0.3)*0.00635/1000000</f>
        <v>1.0467032967032965</v>
      </c>
    </row>
    <row r="24" spans="3:6" x14ac:dyDescent="0.45">
      <c r="E24">
        <f>150000000/(1-0.3*0.3)*F24/1000000</f>
        <v>4.2183514514315279</v>
      </c>
      <c r="F24" s="1">
        <f>2*SQRT(I2*I3)/(SQRT(I4)*ASINH(1/I4)+1/SQRT(I4)*ASINH(I4))</f>
        <v>2.5591332138684603E-2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40AD-D23C-4A80-88C7-50BED904C64C}">
  <dimension ref="A1:I24"/>
  <sheetViews>
    <sheetView tabSelected="1" workbookViewId="0">
      <selection activeCell="C2" sqref="C2"/>
    </sheetView>
  </sheetViews>
  <sheetFormatPr defaultRowHeight="14.25" x14ac:dyDescent="0.45"/>
  <cols>
    <col min="3" max="3" width="9.265625" bestFit="1" customWidth="1"/>
  </cols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8.9999999999999993E-3</v>
      </c>
      <c r="B2">
        <v>20.7</v>
      </c>
      <c r="C2" s="1">
        <f>1000000*(8.8541878128*(7*$I$2*0.0015) / B2 - ($I$5 / 45))</f>
        <v>12.851541840734297</v>
      </c>
      <c r="H2" t="s">
        <v>3</v>
      </c>
      <c r="I2" s="1">
        <v>3.0000000000000001E-3</v>
      </c>
    </row>
    <row r="3" spans="1:9" x14ac:dyDescent="0.45">
      <c r="A3">
        <v>0.34499999999999997</v>
      </c>
      <c r="B3">
        <v>27.5</v>
      </c>
      <c r="C3" s="1">
        <f t="shared" ref="C3:C14" si="0">1000000*(8.8541878128*(7*$I$2*0.0015) / B3 - ($I$5 / 45))</f>
        <v>9.5198474542577767</v>
      </c>
      <c r="D3">
        <f>(A4-A2)/(C2-C4)</f>
        <v>0.13964202954772842</v>
      </c>
      <c r="H3" t="s">
        <v>4</v>
      </c>
      <c r="I3" s="1">
        <v>0.06</v>
      </c>
    </row>
    <row r="4" spans="1:9" x14ac:dyDescent="0.45">
      <c r="A4">
        <v>0.745</v>
      </c>
      <c r="B4">
        <v>34</v>
      </c>
      <c r="C4" s="1">
        <f t="shared" si="0"/>
        <v>7.5809223690483636</v>
      </c>
      <c r="D4">
        <f t="shared" ref="D4:D13" si="1">(A5-A3)/(C3-C5)</f>
        <v>0.28271678511367682</v>
      </c>
      <c r="H4" t="s">
        <v>5</v>
      </c>
      <c r="I4" s="1">
        <f>I2/I3</f>
        <v>0.05</v>
      </c>
    </row>
    <row r="5" spans="1:9" x14ac:dyDescent="0.45">
      <c r="A5">
        <v>1.1040000000000001</v>
      </c>
      <c r="B5">
        <v>37.4</v>
      </c>
      <c r="C5" s="1">
        <f t="shared" si="0"/>
        <v>6.8351819516601298</v>
      </c>
      <c r="D5">
        <f t="shared" si="1"/>
        <v>0.66084833961447464</v>
      </c>
      <c r="H5" t="s">
        <v>9</v>
      </c>
      <c r="I5" s="1">
        <v>2.8E-5</v>
      </c>
    </row>
    <row r="6" spans="1:9" x14ac:dyDescent="0.45">
      <c r="A6">
        <v>1.5349999999999999</v>
      </c>
      <c r="B6">
        <v>39.799999999999997</v>
      </c>
      <c r="C6" s="1">
        <f t="shared" si="0"/>
        <v>6.3854892376571737</v>
      </c>
      <c r="D6">
        <f t="shared" si="1"/>
        <v>1.2369637271163381</v>
      </c>
    </row>
    <row r="7" spans="1:9" x14ac:dyDescent="0.45">
      <c r="A7">
        <v>2.23</v>
      </c>
      <c r="B7">
        <v>42.6</v>
      </c>
      <c r="C7" s="1">
        <f t="shared" si="0"/>
        <v>5.9248884844256633</v>
      </c>
      <c r="D7">
        <f t="shared" si="1"/>
        <v>2.0397912177920827</v>
      </c>
    </row>
    <row r="8" spans="1:9" x14ac:dyDescent="0.45">
      <c r="A8">
        <v>2.87</v>
      </c>
      <c r="B8">
        <v>43.9</v>
      </c>
      <c r="C8" s="1">
        <f t="shared" si="0"/>
        <v>5.7310104908347244</v>
      </c>
      <c r="D8">
        <f t="shared" si="1"/>
        <v>3.0643288160117295</v>
      </c>
    </row>
    <row r="9" spans="1:9" x14ac:dyDescent="0.45">
      <c r="A9">
        <v>3.3</v>
      </c>
      <c r="B9">
        <v>45</v>
      </c>
      <c r="C9" s="1">
        <f t="shared" si="0"/>
        <v>5.5757092467377767</v>
      </c>
      <c r="D9">
        <f t="shared" si="1"/>
        <v>4.3558752116878079</v>
      </c>
    </row>
    <row r="10" spans="1:9" x14ac:dyDescent="0.45">
      <c r="A10">
        <v>3.96</v>
      </c>
      <c r="B10">
        <v>45.7</v>
      </c>
      <c r="C10" s="1">
        <f t="shared" si="0"/>
        <v>5.4807737537777763</v>
      </c>
      <c r="D10">
        <f t="shared" si="1"/>
        <v>9.327305454976333</v>
      </c>
    </row>
    <row r="11" spans="1:9" x14ac:dyDescent="0.45">
      <c r="A11">
        <v>5.76</v>
      </c>
      <c r="B11">
        <v>47</v>
      </c>
      <c r="C11" s="1">
        <f t="shared" si="0"/>
        <v>5.3119674821011813</v>
      </c>
      <c r="D11">
        <f t="shared" si="1"/>
        <v>8.3095325111944405</v>
      </c>
    </row>
    <row r="12" spans="1:9" x14ac:dyDescent="0.45">
      <c r="A12">
        <v>6.39</v>
      </c>
      <c r="B12">
        <v>48</v>
      </c>
      <c r="C12" s="1">
        <f t="shared" si="0"/>
        <v>5.1883385299277762</v>
      </c>
      <c r="D12">
        <f t="shared" si="1"/>
        <v>7.2172869648566467</v>
      </c>
    </row>
    <row r="13" spans="1:9" x14ac:dyDescent="0.45">
      <c r="A13">
        <v>7.17</v>
      </c>
      <c r="B13">
        <v>48.6</v>
      </c>
      <c r="C13" s="1">
        <f t="shared" si="0"/>
        <v>5.1166032119999985</v>
      </c>
      <c r="D13">
        <f t="shared" si="1"/>
        <v>7.8959676969255908</v>
      </c>
      <c r="E13">
        <v>27.3</v>
      </c>
    </row>
    <row r="14" spans="1:9" x14ac:dyDescent="0.45">
      <c r="A14">
        <v>7.87</v>
      </c>
      <c r="B14">
        <v>49.6</v>
      </c>
      <c r="C14" s="1">
        <f t="shared" si="0"/>
        <v>5.0009010863100345</v>
      </c>
    </row>
    <row r="15" spans="1:9" x14ac:dyDescent="0.45">
      <c r="C15" s="1"/>
      <c r="E15">
        <v>4.9000000000000004</v>
      </c>
      <c r="F15">
        <v>26.8</v>
      </c>
    </row>
    <row r="16" spans="1:9" x14ac:dyDescent="0.45">
      <c r="C16" s="1"/>
    </row>
    <row r="17" spans="3:6" x14ac:dyDescent="0.45">
      <c r="C17" s="1"/>
      <c r="E17" cm="1">
        <f t="array" ref="E17:F17">LINEST(A10:A14, C10:C14)</f>
        <v>-8.0550550935915091</v>
      </c>
      <c r="F17">
        <v>48.275106500237982</v>
      </c>
    </row>
    <row r="18" spans="3:6" x14ac:dyDescent="0.45">
      <c r="C18" s="1"/>
    </row>
    <row r="22" spans="3:6" x14ac:dyDescent="0.45">
      <c r="E22" t="s">
        <v>6</v>
      </c>
    </row>
    <row r="23" spans="3:6" x14ac:dyDescent="0.45">
      <c r="E23">
        <f>150000000/(1-0.3*0.3)*0.00635/1000000</f>
        <v>1.0467032967032965</v>
      </c>
    </row>
    <row r="24" spans="3:6" x14ac:dyDescent="0.45">
      <c r="E24">
        <f>150000000/(1-0.3*0.3)*F24/1000000</f>
        <v>4.2183514514315279</v>
      </c>
      <c r="F24" s="1">
        <f>2*SQRT(I2*I3)/(SQRT(I4)*ASINH(1/I4)+1/SQRT(I4)*ASINH(I4))</f>
        <v>2.5591332138684603E-2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FE80-DCD5-43C3-8AD1-E238C239A1EB}">
  <dimension ref="A1:I24"/>
  <sheetViews>
    <sheetView workbookViewId="0">
      <selection activeCell="C2" sqref="C2:C18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</row>
    <row r="2" spans="1:9" x14ac:dyDescent="0.45">
      <c r="A2">
        <v>0.23</v>
      </c>
      <c r="B2">
        <v>30.1</v>
      </c>
      <c r="C2">
        <f>1000000*(8.8541878128*(7*0.00635*0.0015) / B2 - (0.000028 / 45))</f>
        <v>18.990833339852188</v>
      </c>
      <c r="F2">
        <v>10.5</v>
      </c>
      <c r="H2" t="s">
        <v>3</v>
      </c>
      <c r="I2" s="1">
        <v>6.3499999999999997E-3</v>
      </c>
    </row>
    <row r="3" spans="1:9" x14ac:dyDescent="0.45">
      <c r="A3">
        <v>0.41</v>
      </c>
      <c r="B3">
        <v>32.200000000000003</v>
      </c>
      <c r="C3">
        <f t="shared" ref="C3:C18" si="0">1000000*(8.8541878128*(7*0.00635*0.0015) / B3 - (0.000028 / 45))</f>
        <v>17.711721020586467</v>
      </c>
      <c r="D3">
        <f>(A4-A2)/(C2-C4)</f>
        <v>0.10414115787950398</v>
      </c>
      <c r="H3" t="s">
        <v>4</v>
      </c>
      <c r="I3" s="1">
        <v>0.06</v>
      </c>
    </row>
    <row r="4" spans="1:9" x14ac:dyDescent="0.45">
      <c r="A4">
        <v>0.72</v>
      </c>
      <c r="B4">
        <v>39.6</v>
      </c>
      <c r="C4">
        <f t="shared" si="0"/>
        <v>14.285681121677774</v>
      </c>
      <c r="D4">
        <f t="shared" ref="D4:D17" si="1">(A5-A3)/(C3-C5)</f>
        <v>0.11764856020062703</v>
      </c>
      <c r="H4" t="s">
        <v>5</v>
      </c>
      <c r="I4" s="1">
        <f>I2/I3</f>
        <v>0.10583333333333333</v>
      </c>
    </row>
    <row r="5" spans="1:9" x14ac:dyDescent="0.45">
      <c r="A5">
        <v>1.1200000000000001</v>
      </c>
      <c r="B5">
        <v>48</v>
      </c>
      <c r="C5">
        <f t="shared" si="0"/>
        <v>11.676798036495276</v>
      </c>
      <c r="D5">
        <f t="shared" si="1"/>
        <v>0.17485011731815633</v>
      </c>
    </row>
    <row r="6" spans="1:9" x14ac:dyDescent="0.45">
      <c r="A6">
        <v>1.55</v>
      </c>
      <c r="B6">
        <v>58.1</v>
      </c>
      <c r="C6">
        <f t="shared" si="0"/>
        <v>9.5387583701777761</v>
      </c>
      <c r="D6">
        <f t="shared" si="1"/>
        <v>0.25976277126159009</v>
      </c>
    </row>
    <row r="7" spans="1:9" x14ac:dyDescent="0.45">
      <c r="A7">
        <v>1.97</v>
      </c>
      <c r="B7">
        <v>65.400000000000006</v>
      </c>
      <c r="C7">
        <f t="shared" si="0"/>
        <v>8.4045816373869506</v>
      </c>
      <c r="D7">
        <f t="shared" si="1"/>
        <v>0.47125098306011559</v>
      </c>
    </row>
    <row r="8" spans="1:9" x14ac:dyDescent="0.45">
      <c r="A8">
        <v>2.42</v>
      </c>
      <c r="B8">
        <v>71</v>
      </c>
      <c r="C8">
        <f t="shared" si="0"/>
        <v>7.6926083752205932</v>
      </c>
      <c r="D8">
        <f t="shared" si="1"/>
        <v>0.74149537726004411</v>
      </c>
    </row>
    <row r="9" spans="1:9" x14ac:dyDescent="0.45">
      <c r="A9">
        <v>2.85</v>
      </c>
      <c r="B9">
        <v>75.3</v>
      </c>
      <c r="C9">
        <f t="shared" si="0"/>
        <v>7.2177906917012811</v>
      </c>
      <c r="D9">
        <f t="shared" si="1"/>
        <v>1.0241157336179707</v>
      </c>
    </row>
    <row r="10" spans="1:9" x14ac:dyDescent="0.45">
      <c r="A10">
        <v>3.34</v>
      </c>
      <c r="B10">
        <v>79.599999999999994</v>
      </c>
      <c r="C10">
        <f t="shared" si="0"/>
        <v>6.7942724061501378</v>
      </c>
      <c r="D10">
        <f t="shared" si="1"/>
        <v>1.1702207069393835</v>
      </c>
    </row>
    <row r="11" spans="1:9" x14ac:dyDescent="0.45">
      <c r="A11">
        <v>3.81</v>
      </c>
      <c r="B11">
        <v>84.1</v>
      </c>
      <c r="C11">
        <f t="shared" si="0"/>
        <v>6.3974326222300943</v>
      </c>
      <c r="D11">
        <f t="shared" si="1"/>
        <v>1.1668335064767494</v>
      </c>
    </row>
    <row r="12" spans="1:9" x14ac:dyDescent="0.45">
      <c r="A12">
        <v>4.28</v>
      </c>
      <c r="B12">
        <v>89.3</v>
      </c>
      <c r="C12">
        <f t="shared" si="0"/>
        <v>5.9886733255766567</v>
      </c>
      <c r="D12">
        <f t="shared" si="1"/>
        <v>1.4028240196616426</v>
      </c>
    </row>
    <row r="13" spans="1:9" x14ac:dyDescent="0.45">
      <c r="A13">
        <v>4.8</v>
      </c>
      <c r="B13">
        <v>93.5</v>
      </c>
      <c r="C13">
        <f t="shared" si="0"/>
        <v>5.6917133116648353</v>
      </c>
      <c r="D13">
        <f t="shared" si="1"/>
        <v>1.6559513532499179</v>
      </c>
      <c r="E13">
        <v>27.3</v>
      </c>
    </row>
    <row r="14" spans="1:9" x14ac:dyDescent="0.45">
      <c r="A14">
        <v>5.5</v>
      </c>
      <c r="B14">
        <v>100.5</v>
      </c>
      <c r="C14">
        <f t="shared" si="0"/>
        <v>5.251936707314492</v>
      </c>
      <c r="D14">
        <f t="shared" si="1"/>
        <v>1.7710212214115129</v>
      </c>
    </row>
    <row r="15" spans="1:9" x14ac:dyDescent="0.45">
      <c r="A15">
        <v>6.1</v>
      </c>
      <c r="B15">
        <v>105.8</v>
      </c>
      <c r="C15">
        <f t="shared" si="0"/>
        <v>4.9576735473282492</v>
      </c>
      <c r="D15">
        <f t="shared" si="1"/>
        <v>2.5927665157412378</v>
      </c>
      <c r="E15">
        <v>4.9000000000000004</v>
      </c>
      <c r="F15">
        <v>26.8</v>
      </c>
    </row>
    <row r="16" spans="1:9" x14ac:dyDescent="0.45">
      <c r="A16">
        <v>6.79</v>
      </c>
      <c r="B16">
        <v>109.8</v>
      </c>
      <c r="C16">
        <f t="shared" si="0"/>
        <v>4.7543986559056455</v>
      </c>
      <c r="D16">
        <f t="shared" si="1"/>
        <v>3.8444206760505226</v>
      </c>
    </row>
    <row r="17" spans="1:6" x14ac:dyDescent="0.45">
      <c r="A17">
        <v>7.52</v>
      </c>
      <c r="B17">
        <v>113.3</v>
      </c>
      <c r="C17">
        <f t="shared" si="0"/>
        <v>4.5883071018593302</v>
      </c>
      <c r="D17">
        <f t="shared" si="1"/>
        <v>4.6569781536963708</v>
      </c>
      <c r="E17" cm="1">
        <f t="array" ref="E17:F17">LINEST(A13:A18, C13:C18)</f>
        <v>-2.6894823196397013</v>
      </c>
      <c r="F17">
        <v>19.798102954154221</v>
      </c>
    </row>
    <row r="18" spans="1:6" x14ac:dyDescent="0.45">
      <c r="A18">
        <v>8.23</v>
      </c>
      <c r="B18">
        <v>116.5</v>
      </c>
      <c r="C18">
        <f t="shared" si="0"/>
        <v>4.4451852663480773</v>
      </c>
    </row>
    <row r="22" spans="1:6" x14ac:dyDescent="0.45">
      <c r="E22" t="s">
        <v>6</v>
      </c>
    </row>
    <row r="23" spans="1:6" x14ac:dyDescent="0.45">
      <c r="E23">
        <f>150000000/(1-0.3*0.3)*0.00635/1000000</f>
        <v>1.0467032967032965</v>
      </c>
    </row>
    <row r="24" spans="1:6" x14ac:dyDescent="0.45">
      <c r="E24">
        <f>150000000/(1-0.3*0.3)*F24/1000000</f>
        <v>5.0204011516635578</v>
      </c>
      <c r="F24" s="1">
        <f>2*SQRT(I2*I3)/(SQRT(I4)*ASINH(1/I4)+1/SQRT(I4)*ASINH(I4))</f>
        <v>3.0457100320092256E-2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D0DA-325F-414B-95F5-ABB73C62793B}">
  <dimension ref="A1:F23"/>
  <sheetViews>
    <sheetView workbookViewId="0">
      <selection activeCell="C2" sqref="C2:C20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8</v>
      </c>
    </row>
    <row r="2" spans="1:6" x14ac:dyDescent="0.45">
      <c r="A2">
        <v>8.9999999999999993E-3</v>
      </c>
      <c r="B2">
        <v>21.4</v>
      </c>
      <c r="C2">
        <f>1000000*(8.8541878128*(7*0.00635*0.0015) / B2 - (0.000028 / 45))</f>
        <v>26.96436527396656</v>
      </c>
      <c r="F2">
        <v>10.5</v>
      </c>
    </row>
    <row r="3" spans="1:6" x14ac:dyDescent="0.45">
      <c r="A3">
        <v>5.1999999999999998E-2</v>
      </c>
      <c r="B3">
        <v>26.8</v>
      </c>
      <c r="C3">
        <f t="shared" ref="C3:C20" si="0">1000000*(8.8541878128*(7*0.00635*0.0015) / B3 - (0.000028 / 45))</f>
        <v>21.405873763540455</v>
      </c>
      <c r="D3">
        <f>(A4-A2)/(C2-C4)</f>
        <v>3.0221966756407984E-2</v>
      </c>
    </row>
    <row r="4" spans="1:6" x14ac:dyDescent="0.45">
      <c r="A4">
        <v>0.248</v>
      </c>
      <c r="B4">
        <v>30</v>
      </c>
      <c r="C4">
        <f t="shared" si="0"/>
        <v>19.056210191725771</v>
      </c>
      <c r="D4">
        <f t="shared" ref="D4:D19" si="1">(A5-A3)/(C3-C5)</f>
        <v>9.0683984076929527E-2</v>
      </c>
    </row>
    <row r="5" spans="1:6" x14ac:dyDescent="0.45">
      <c r="A5">
        <v>0.55000000000000004</v>
      </c>
      <c r="B5">
        <v>35.700000000000003</v>
      </c>
      <c r="C5">
        <f t="shared" si="0"/>
        <v>15.91427560462483</v>
      </c>
      <c r="D5">
        <f t="shared" si="1"/>
        <v>0.12732604256124497</v>
      </c>
    </row>
    <row r="6" spans="1:6" x14ac:dyDescent="0.45">
      <c r="A6">
        <v>0.89300000000000002</v>
      </c>
      <c r="B6">
        <v>40.4</v>
      </c>
      <c r="C6">
        <f t="shared" si="0"/>
        <v>13.990475114867875</v>
      </c>
      <c r="D6">
        <f t="shared" si="1"/>
        <v>0.17371975904393647</v>
      </c>
    </row>
    <row r="7" spans="1:6" x14ac:dyDescent="0.45">
      <c r="A7">
        <v>1.3340000000000001</v>
      </c>
      <c r="B7">
        <v>49.1</v>
      </c>
      <c r="C7">
        <f t="shared" si="0"/>
        <v>11.401259904426247</v>
      </c>
      <c r="D7">
        <f t="shared" si="1"/>
        <v>0.19108594267974313</v>
      </c>
    </row>
    <row r="8" spans="1:6" x14ac:dyDescent="0.45">
      <c r="A8">
        <v>1.66</v>
      </c>
      <c r="B8">
        <v>55.7</v>
      </c>
      <c r="C8">
        <f t="shared" si="0"/>
        <v>9.9765744100657479</v>
      </c>
      <c r="D8">
        <f t="shared" si="1"/>
        <v>0.27086730596141784</v>
      </c>
    </row>
    <row r="9" spans="1:6" x14ac:dyDescent="0.45">
      <c r="A9">
        <v>2.1</v>
      </c>
      <c r="B9">
        <v>64.2</v>
      </c>
      <c r="C9">
        <f t="shared" si="0"/>
        <v>8.5733069431740372</v>
      </c>
      <c r="D9">
        <f t="shared" si="1"/>
        <v>0.40406527102863438</v>
      </c>
    </row>
    <row r="10" spans="1:6" x14ac:dyDescent="0.45">
      <c r="A10">
        <v>2.5299999999999998</v>
      </c>
      <c r="B10">
        <v>69.900000000000006</v>
      </c>
      <c r="C10">
        <f t="shared" si="0"/>
        <v>7.823456925394944</v>
      </c>
      <c r="D10">
        <f t="shared" si="1"/>
        <v>0.56501765914549895</v>
      </c>
    </row>
    <row r="11" spans="1:6" x14ac:dyDescent="0.45">
      <c r="A11">
        <v>2.86</v>
      </c>
      <c r="B11">
        <v>75.2</v>
      </c>
      <c r="C11">
        <f t="shared" si="0"/>
        <v>7.228216240788945</v>
      </c>
      <c r="D11">
        <f t="shared" si="1"/>
        <v>0.92617416250387286</v>
      </c>
    </row>
    <row r="12" spans="1:6" x14ac:dyDescent="0.45">
      <c r="A12">
        <v>3.56</v>
      </c>
      <c r="B12">
        <v>80.5</v>
      </c>
      <c r="C12">
        <f t="shared" si="0"/>
        <v>6.7113550749012543</v>
      </c>
      <c r="D12">
        <f t="shared" si="1"/>
        <v>1.4514342935216262</v>
      </c>
    </row>
    <row r="13" spans="1:6" x14ac:dyDescent="0.45">
      <c r="A13">
        <v>4.09</v>
      </c>
      <c r="B13">
        <v>84.3</v>
      </c>
      <c r="C13">
        <f t="shared" si="0"/>
        <v>6.3807786368340036</v>
      </c>
      <c r="D13">
        <f t="shared" si="1"/>
        <v>1.7229510544326319</v>
      </c>
      <c r="E13">
        <v>27.3</v>
      </c>
    </row>
    <row r="14" spans="1:6" x14ac:dyDescent="0.45">
      <c r="A14">
        <v>4.6500000000000004</v>
      </c>
      <c r="B14">
        <v>88.1</v>
      </c>
      <c r="C14">
        <f t="shared" si="0"/>
        <v>6.0787195759439507</v>
      </c>
      <c r="D14">
        <f t="shared" si="1"/>
        <v>1.5901754439454365</v>
      </c>
    </row>
    <row r="15" spans="1:6" x14ac:dyDescent="0.45">
      <c r="A15">
        <v>5.1100000000000003</v>
      </c>
      <c r="B15">
        <v>92.8</v>
      </c>
      <c r="C15">
        <f t="shared" si="0"/>
        <v>5.7393399805626899</v>
      </c>
      <c r="D15">
        <f t="shared" si="1"/>
        <v>1.6988415549219893</v>
      </c>
      <c r="E15">
        <v>4.9000000000000004</v>
      </c>
      <c r="F15">
        <v>26.8</v>
      </c>
    </row>
    <row r="16" spans="1:6" x14ac:dyDescent="0.45">
      <c r="A16">
        <v>5.8</v>
      </c>
      <c r="B16">
        <v>98</v>
      </c>
      <c r="C16">
        <f t="shared" si="0"/>
        <v>5.4017877004149186</v>
      </c>
      <c r="D16">
        <f t="shared" si="1"/>
        <v>2.083651857255064</v>
      </c>
    </row>
    <row r="17" spans="1:6" x14ac:dyDescent="0.45">
      <c r="A17">
        <v>6.27</v>
      </c>
      <c r="B17">
        <v>101.7</v>
      </c>
      <c r="C17">
        <f t="shared" si="0"/>
        <v>5.182625097526449</v>
      </c>
      <c r="D17">
        <f t="shared" si="1"/>
        <v>2.3864259593123736</v>
      </c>
      <c r="E17" cm="1">
        <f t="array" ref="E17:F17">LINEST(A17:A20, C17:C20)</f>
        <v>-2.9559975782361363</v>
      </c>
      <c r="F17">
        <v>21.547389024678967</v>
      </c>
    </row>
    <row r="18" spans="1:6" x14ac:dyDescent="0.45">
      <c r="A18">
        <v>6.91</v>
      </c>
      <c r="B18">
        <v>106.2</v>
      </c>
      <c r="C18">
        <f t="shared" si="0"/>
        <v>4.9366569907574371</v>
      </c>
      <c r="D18">
        <f t="shared" si="1"/>
        <v>2.7397127920532274</v>
      </c>
    </row>
    <row r="19" spans="1:6" x14ac:dyDescent="0.45">
      <c r="A19">
        <v>7.47</v>
      </c>
      <c r="B19">
        <v>110</v>
      </c>
      <c r="C19">
        <f t="shared" si="0"/>
        <v>4.7446229815817764</v>
      </c>
      <c r="D19">
        <f t="shared" si="1"/>
        <v>3.2198165750353587</v>
      </c>
    </row>
    <row r="20" spans="1:6" x14ac:dyDescent="0.45">
      <c r="A20">
        <v>8.1199999999999992</v>
      </c>
      <c r="B20">
        <v>113.9</v>
      </c>
      <c r="C20">
        <f t="shared" si="0"/>
        <v>4.5608591861925261</v>
      </c>
    </row>
    <row r="22" spans="1:6" x14ac:dyDescent="0.45">
      <c r="E22" t="s">
        <v>6</v>
      </c>
    </row>
    <row r="23" spans="1:6" x14ac:dyDescent="0.45">
      <c r="E23">
        <f>150000000/(1-0.3*0.3)*0.00635/1000000</f>
        <v>1.0467032967032965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10F7-D8CF-4781-9E28-8C570C3534D0}">
  <dimension ref="A1:F23"/>
  <sheetViews>
    <sheetView workbookViewId="0">
      <selection activeCell="C2" sqref="C2:C19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8</v>
      </c>
    </row>
    <row r="2" spans="1:6" x14ac:dyDescent="0.45">
      <c r="A2">
        <v>0.01</v>
      </c>
      <c r="B2">
        <v>21</v>
      </c>
      <c r="C2">
        <f>1000000*(8.8541878128*(7*0.00635*0.0015) / B2 - (0.000028 / 45))</f>
        <v>27.489824083417773</v>
      </c>
      <c r="F2">
        <v>10.5</v>
      </c>
    </row>
    <row r="3" spans="1:6" x14ac:dyDescent="0.45">
      <c r="A3">
        <v>0.17</v>
      </c>
      <c r="B3">
        <v>28.9</v>
      </c>
      <c r="C3">
        <f t="shared" ref="C3:C19" si="0">1000000*(8.8541878128*(7*0.00635*0.0015) / B3 - (0.000028 / 45))</f>
        <v>19.805216269765314</v>
      </c>
      <c r="D3">
        <f>(A4-A2)/(C2-C4)</f>
        <v>4.0093729786402597E-2</v>
      </c>
    </row>
    <row r="4" spans="1:6" x14ac:dyDescent="0.45">
      <c r="A4">
        <v>0.45500000000000002</v>
      </c>
      <c r="B4">
        <v>34.700000000000003</v>
      </c>
      <c r="C4">
        <f t="shared" si="0"/>
        <v>16.39083173796336</v>
      </c>
      <c r="D4">
        <f t="shared" ref="D4:D18" si="1">(A5-A3)/(C3-C5)</f>
        <v>0.11866578847802683</v>
      </c>
    </row>
    <row r="5" spans="1:6" x14ac:dyDescent="0.45">
      <c r="A5">
        <v>0.81599999999999995</v>
      </c>
      <c r="B5">
        <v>39.4</v>
      </c>
      <c r="C5">
        <f t="shared" si="0"/>
        <v>14.361355757941228</v>
      </c>
      <c r="D5">
        <f t="shared" si="1"/>
        <v>0.15206340631830442</v>
      </c>
    </row>
    <row r="6" spans="1:6" x14ac:dyDescent="0.45">
      <c r="A6">
        <v>1.21</v>
      </c>
      <c r="B6">
        <v>49</v>
      </c>
      <c r="C6">
        <f t="shared" si="0"/>
        <v>11.425797623052061</v>
      </c>
      <c r="D6">
        <f t="shared" si="1"/>
        <v>0.16837752175166418</v>
      </c>
    </row>
    <row r="7" spans="1:6" x14ac:dyDescent="0.45">
      <c r="A7">
        <v>1.595</v>
      </c>
      <c r="B7">
        <v>57</v>
      </c>
      <c r="C7">
        <f t="shared" si="0"/>
        <v>9.7348474693293561</v>
      </c>
      <c r="D7">
        <f t="shared" si="1"/>
        <v>0.29358324601207725</v>
      </c>
    </row>
    <row r="8" spans="1:6" x14ac:dyDescent="0.45">
      <c r="A8">
        <v>2.06</v>
      </c>
      <c r="B8">
        <v>64.5</v>
      </c>
      <c r="C8">
        <f t="shared" si="0"/>
        <v>8.5305370400791709</v>
      </c>
      <c r="D8">
        <f t="shared" si="1"/>
        <v>0.42362368224469399</v>
      </c>
    </row>
    <row r="9" spans="1:6" x14ac:dyDescent="0.45">
      <c r="A9">
        <v>2.42</v>
      </c>
      <c r="B9">
        <v>70.2</v>
      </c>
      <c r="C9">
        <f t="shared" si="0"/>
        <v>7.7873642794649554</v>
      </c>
      <c r="D9">
        <f t="shared" si="1"/>
        <v>0.63622816643153324</v>
      </c>
    </row>
    <row r="10" spans="1:6" x14ac:dyDescent="0.45">
      <c r="A10">
        <v>2.915</v>
      </c>
      <c r="B10">
        <v>75.599999999999994</v>
      </c>
      <c r="C10">
        <f t="shared" si="0"/>
        <v>7.1866795293444437</v>
      </c>
      <c r="D10">
        <f t="shared" si="1"/>
        <v>0.88292093773104685</v>
      </c>
    </row>
    <row r="11" spans="1:6" x14ac:dyDescent="0.45">
      <c r="A11">
        <v>3.41</v>
      </c>
      <c r="B11">
        <v>81</v>
      </c>
      <c r="C11">
        <f t="shared" si="0"/>
        <v>6.6660860792399976</v>
      </c>
      <c r="D11">
        <f t="shared" si="1"/>
        <v>1.1225533845589002</v>
      </c>
    </row>
    <row r="12" spans="1:6" x14ac:dyDescent="0.45">
      <c r="A12">
        <v>3.93</v>
      </c>
      <c r="B12">
        <v>85.5</v>
      </c>
      <c r="C12">
        <f t="shared" si="0"/>
        <v>6.2824909054788289</v>
      </c>
      <c r="D12">
        <f t="shared" si="1"/>
        <v>1.539118676733378</v>
      </c>
    </row>
    <row r="13" spans="1:6" x14ac:dyDescent="0.45">
      <c r="A13">
        <v>4.4640000000000004</v>
      </c>
      <c r="B13">
        <v>89.4</v>
      </c>
      <c r="C13">
        <f t="shared" si="0"/>
        <v>5.9812785878274397</v>
      </c>
      <c r="D13">
        <f t="shared" si="1"/>
        <v>1.8108391245340079</v>
      </c>
      <c r="E13">
        <v>27.3</v>
      </c>
    </row>
    <row r="14" spans="1:6" x14ac:dyDescent="0.45">
      <c r="A14">
        <v>4.9630000000000001</v>
      </c>
      <c r="B14">
        <v>93.2</v>
      </c>
      <c r="C14">
        <f t="shared" si="0"/>
        <v>5.7120371384906505</v>
      </c>
      <c r="D14">
        <f t="shared" si="1"/>
        <v>1.9033806417692527</v>
      </c>
    </row>
    <row r="15" spans="1:6" x14ac:dyDescent="0.45">
      <c r="A15">
        <v>5.52</v>
      </c>
      <c r="B15">
        <v>97.6</v>
      </c>
      <c r="C15">
        <f t="shared" si="0"/>
        <v>5.4264762656716288</v>
      </c>
      <c r="D15">
        <f t="shared" si="1"/>
        <v>2.0653601528953045</v>
      </c>
      <c r="E15">
        <v>4.9000000000000004</v>
      </c>
      <c r="F15">
        <v>26.8</v>
      </c>
    </row>
    <row r="16" spans="1:6" x14ac:dyDescent="0.45">
      <c r="A16">
        <v>6.15</v>
      </c>
      <c r="B16">
        <v>102.5</v>
      </c>
      <c r="C16">
        <f t="shared" si="0"/>
        <v>5.13731897210402</v>
      </c>
      <c r="D16">
        <f t="shared" si="1"/>
        <v>2.3899989407071782</v>
      </c>
    </row>
    <row r="17" spans="1:6" x14ac:dyDescent="0.45">
      <c r="A17">
        <v>6.79</v>
      </c>
      <c r="B17">
        <v>107</v>
      </c>
      <c r="C17">
        <f t="shared" si="0"/>
        <v>4.8950952770155336</v>
      </c>
      <c r="D17">
        <f t="shared" si="1"/>
        <v>2.9899469958701785</v>
      </c>
      <c r="E17" cm="1">
        <f t="array" ref="E17:F17">LINEST(A13:A19, C13:C19)</f>
        <v>-2.4728066535139335</v>
      </c>
      <c r="F17">
        <v>19.065261670246468</v>
      </c>
    </row>
    <row r="18" spans="1:6" x14ac:dyDescent="0.45">
      <c r="A18">
        <v>7.44</v>
      </c>
      <c r="B18">
        <v>110.8</v>
      </c>
      <c r="C18">
        <f t="shared" si="0"/>
        <v>4.705873196716766</v>
      </c>
      <c r="D18">
        <f t="shared" si="1"/>
        <v>3.7355109621382767</v>
      </c>
    </row>
    <row r="19" spans="1:6" x14ac:dyDescent="0.45">
      <c r="A19">
        <v>8.14</v>
      </c>
      <c r="B19">
        <v>114.5</v>
      </c>
      <c r="C19">
        <f t="shared" si="0"/>
        <v>4.5336989342707019</v>
      </c>
    </row>
    <row r="22" spans="1:6" x14ac:dyDescent="0.45">
      <c r="E22" t="s">
        <v>6</v>
      </c>
    </row>
    <row r="23" spans="1:6" x14ac:dyDescent="0.45">
      <c r="E23">
        <f>150000000/(1-0.3*0.3)*0.00635/1000000</f>
        <v>1.0467032967032965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w=2 (20240929_234547707)</vt:lpstr>
      <vt:lpstr>w=2 (20240929_233458613)</vt:lpstr>
      <vt:lpstr>w=2 (20240929_223240518)</vt:lpstr>
      <vt:lpstr>w=2.5 (20241002_054915278)</vt:lpstr>
      <vt:lpstr>w=2.5 (20241002_054114017)</vt:lpstr>
      <vt:lpstr>w=3 (20241002_053026357)</vt:lpstr>
      <vt:lpstr>w=3 (20241002_052600408)</vt:lpstr>
      <vt:lpstr>w=6.35 (20240930_002516806)</vt:lpstr>
      <vt:lpstr>w=6.35 (20240930_001910459)</vt:lpstr>
      <vt:lpstr>w=6.35 (20240930_002228313)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Ahad Mujtaba Rauf</dc:creator>
  <cp:keywords/>
  <dc:description/>
  <cp:lastModifiedBy>Ahad Mujtaba Rauf</cp:lastModifiedBy>
  <cp:revision/>
  <dcterms:created xsi:type="dcterms:W3CDTF">2024-09-29T22:37:18Z</dcterms:created>
  <dcterms:modified xsi:type="dcterms:W3CDTF">2024-12-18T22:22:37Z</dcterms:modified>
  <cp:category/>
  <cp:contentStatus/>
</cp:coreProperties>
</file>